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ml.chartsha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_Source Control\Mission-Simulator\_Notes\Test Results\Paper2\Journal\"/>
    </mc:Choice>
  </mc:AlternateContent>
  <xr:revisionPtr revIDLastSave="0" documentId="13_ncr:1_{A723C94F-02EC-4615-B663-51A8975791A9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Fig15 ImpByDrones" sheetId="12" r:id="rId1"/>
    <sheet name="Fig 16 ImpByStations" sheetId="9" r:id="rId2"/>
    <sheet name="data" sheetId="15" r:id="rId3"/>
    <sheet name="Notes" sheetId="13" r:id="rId4"/>
  </sheets>
  <definedNames>
    <definedName name="ImportedDataSource">#REF!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<sst xmlns="http://schemas.openxmlformats.org/spreadsheetml/2006/main" count="61" uniqueCount="30">
  <si>
    <t>Stations</t>
  </si>
  <si>
    <t>Drones</t>
  </si>
  <si>
    <t>Distance</t>
  </si>
  <si>
    <t>Center.SPF.Avg</t>
  </si>
  <si>
    <t>Optimised.SPF.Avg</t>
  </si>
  <si>
    <t>Optimised.Distance</t>
  </si>
  <si>
    <t>Center.Distance</t>
  </si>
  <si>
    <t>SPF Imrovement</t>
  </si>
  <si>
    <t>Distance Imrovement</t>
  </si>
  <si>
    <t>SPF</t>
  </si>
  <si>
    <t>Optimised.SPD.Avg</t>
  </si>
  <si>
    <t>Center.SPD.Avg</t>
  </si>
  <si>
    <t>SPD Impovement</t>
  </si>
  <si>
    <t>Average</t>
  </si>
  <si>
    <t>SPD</t>
  </si>
  <si>
    <t>Row Labels</t>
  </si>
  <si>
    <t>Grand Total</t>
  </si>
  <si>
    <t>After Centering</t>
  </si>
  <si>
    <t>Vanilla mTSP</t>
  </si>
  <si>
    <t>Diff Distance</t>
  </si>
  <si>
    <t>Diff SPD</t>
  </si>
  <si>
    <t>Diff SPF</t>
  </si>
  <si>
    <t>Diff</t>
  </si>
  <si>
    <t>Analysis by Stations</t>
  </si>
  <si>
    <t>Analysis by Drones</t>
  </si>
  <si>
    <t>Total Distance</t>
  </si>
  <si>
    <t>Starting Point Distance (SPD)</t>
  </si>
  <si>
    <t>Starting Point Factor (SPF)</t>
  </si>
  <si>
    <t>Use the "GeometricMedian_VIEW" view from SQLite database to copy the data into the "data" Sheet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</si>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</sst>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6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4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left"/>
    </xf>
    <xf numFmtId="2" fontId="0" fillId="0" borderId="0" xfId="0" applyNumberFormat="1"/>
    <xf numFmtId="0" fontId="3" fillId="0" borderId="0" xfId="0" applyFont="1"/>
    <xf numFmtId="0" fontId="4" fillId="2" borderId="1" xfId="0" applyFont="1" applyFill="1" applyBorder="1"/>
    <xf numFmtId="0" fontId="4" fillId="2" borderId="2" xfId="0" applyFont="1" applyFill="1" applyBorder="1"/>
    <xf numFmtId="0" fontId="2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</cellXfs>
  <cellStyles count="2">
    <cellStyle name="Normal" xfId="0" builtinId="0"/>
    <cellStyle name="Κανονικό 2" xfId="1" xr:uid="{2B81080C-9ED3-4173-8C13-D807581C319B}"/>
  </cellStyles>
  <dxfs count="46">
    <dxf>
      <numFmt numFmtId="165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2" formatCode="0.00"/>
    </dxf>
    <dxf>
      <numFmt numFmtId="166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0.0"/>
    </dxf>
    <dxf>
      <numFmt numFmtId="166" formatCode="0.0"/>
    </dxf>
    <dxf>
      <numFmt numFmtId="166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0.0"/>
    </dxf>
    <dxf>
      <numFmt numFmtId="166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[Fig15-16 Geometric Median Analysis.xlsx]Fig15 ImpByDrones!Συγκεντρωτικός Πίνακας1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41275" cap="rnd">
            <a:solidFill>
              <a:schemeClr val="accent1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41275" cap="rnd">
            <a:solidFill>
              <a:schemeClr val="accent4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819803062986261"/>
          <c:y val="0.12223188097635412"/>
          <c:w val="0.74449668825848936"/>
          <c:h val="0.70709438965359817"/>
        </c:manualLayout>
      </c:layout>
      <c:lineChart>
        <c:grouping val="standard"/>
        <c:varyColors val="0"/>
        <c:ser>
          <c:idx val="0"/>
          <c:order val="0"/>
          <c:tx>
            <c:strRef>
              <c:f>'Fig15 ImpByDrones'!$B$4</c:f>
              <c:strCache>
                <c:ptCount val="1"/>
                <c:pt idx="0">
                  <c:v>SPD</c:v>
                </c:pt>
              </c:strCache>
            </c:strRef>
          </c:tx>
          <c:spPr>
            <a:ln w="41275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'Fig15 ImpByDrones'!$A$5:$A$14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'Fig15 ImpByDrones'!$B$5:$B$14</c:f>
              <c:numCache>
                <c:formatCode>0%</c:formatCode>
                <c:ptCount val="9"/>
                <c:pt idx="0">
                  <c:v>0.19625000000000004</c:v>
                </c:pt>
                <c:pt idx="1">
                  <c:v>0.19625000000000001</c:v>
                </c:pt>
                <c:pt idx="2">
                  <c:v>0.20500000000000002</c:v>
                </c:pt>
                <c:pt idx="3">
                  <c:v>0.22857142857142856</c:v>
                </c:pt>
                <c:pt idx="4">
                  <c:v>0.23285714285714285</c:v>
                </c:pt>
                <c:pt idx="5">
                  <c:v>0.22999999999999998</c:v>
                </c:pt>
                <c:pt idx="6">
                  <c:v>0.23714285714285713</c:v>
                </c:pt>
                <c:pt idx="7">
                  <c:v>0.24142857142857141</c:v>
                </c:pt>
                <c:pt idx="8">
                  <c:v>0.24333333333333332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D9-4B4D-A84E-C155E2F65BE6}"/>
            </c:ext>
          </c:extLst>
        </c:ser>
        <c:ser>
          <c:idx val="1"/>
          <c:order val="1"/>
          <c:tx>
            <c:strRef>
              <c:f>'Fig15 ImpByDrones'!$C$4</c:f>
              <c:strCache>
                <c:ptCount val="1"/>
                <c:pt idx="0">
                  <c:v>Distance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'Fig15 ImpByDrones'!$A$5:$A$14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'Fig15 ImpByDrones'!$C$5:$C$14</c:f>
              <c:numCache>
                <c:formatCode>0%</c:formatCode>
                <c:ptCount val="9"/>
                <c:pt idx="0">
                  <c:v>6.8750000000000006E-2</c:v>
                </c:pt>
                <c:pt idx="1">
                  <c:v>9.375E-2</c:v>
                </c:pt>
                <c:pt idx="2">
                  <c:v>0.11250000000000002</c:v>
                </c:pt>
                <c:pt idx="3">
                  <c:v>0.13285714285714287</c:v>
                </c:pt>
                <c:pt idx="4">
                  <c:v>0.13857142857142857</c:v>
                </c:pt>
                <c:pt idx="5">
                  <c:v>0.14857142857142855</c:v>
                </c:pt>
                <c:pt idx="6">
                  <c:v>0.16428571428571431</c:v>
                </c:pt>
                <c:pt idx="7">
                  <c:v>0.17571428571428571</c:v>
                </c:pt>
                <c:pt idx="8">
                  <c:v>0.17500000000000002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D9-4B4D-A84E-C155E2F65BE6}"/>
            </c:ext>
          </c:extLst>
        </c:ser>
        <c:ser>
          <c:idx val="2"/>
          <c:order val="2"/>
          <c:tx>
            <c:strRef>
              <c:f>'Fig15 ImpByDrones'!$D$4</c:f>
              <c:strCache>
                <c:ptCount val="1"/>
                <c:pt idx="0">
                  <c:v>SPF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'Fig15 ImpByDrones'!$A$5:$A$14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'Fig15 ImpByDrones'!$D$5:$D$14</c:f>
              <c:numCache>
                <c:formatCode>0%</c:formatCode>
                <c:ptCount val="9"/>
                <c:pt idx="0">
                  <c:v>0.13582499999999997</c:v>
                </c:pt>
                <c:pt idx="1">
                  <c:v>0.10761250000000001</c:v>
                </c:pt>
                <c:pt idx="2">
                  <c:v>9.6937499999999996E-2</c:v>
                </c:pt>
                <c:pt idx="3">
                  <c:v>0.10130000000000002</c:v>
                </c:pt>
                <c:pt idx="4">
                  <c:v>0.10072857142857143</c:v>
                </c:pt>
                <c:pt idx="5">
                  <c:v>8.7757142857142867E-2</c:v>
                </c:pt>
                <c:pt idx="6">
                  <c:v>8.0228571428571427E-2</c:v>
                </c:pt>
                <c:pt idx="7">
                  <c:v>7.5085714285714283E-2</c:v>
                </c:pt>
                <c:pt idx="8">
                  <c:v>7.3483333333333331E-2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D9-4B4D-A84E-C155E2F65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6882160"/>
        <c:axId val="1936862192"/>
      </c:lineChart>
      <c:catAx>
        <c:axId val="193688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36862192"/>
        <c:crosses val="autoZero"/>
        <c:auto val="1"/>
        <c:lblAlgn val="ctr"/>
        <c:lblOffset val="100"/>
        <c:noMultiLvlLbl val="0"/>
      </c:catAx>
      <c:valAx>
        <c:axId val="193686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3688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23635880538878"/>
          <c:y val="0.39719756944444445"/>
          <c:w val="0.1158457671957672"/>
          <c:h val="0.223243749999999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 paperSize="9" orientation="landscape"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[Fig15-16 Geometric Median Analysis.xlsx]Fig15 ImpByDrones!PivotTable4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19050" cap="rnd">
            <a:solidFill>
              <a:schemeClr val="accent2"/>
            </a:solidFill>
            <a:prstDash val="sysDot"/>
            <a:round/>
          </a:ln>
          <a:effectLst/>
        </c:spPr>
        <c:marker>
          <c:symbol val="star"/>
          <c:size val="5"/>
          <c:spPr>
            <a:solidFill>
              <a:schemeClr val="bg1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175333312052436"/>
          <c:y val="0.18656926870730786"/>
          <c:w val="0.75206137410753249"/>
          <c:h val="0.58167344090254847"/>
        </c:manualLayout>
      </c:layout>
      <c:lineChart>
        <c:grouping val="standard"/>
        <c:varyColors val="0"/>
        <c:ser>
          <c:idx val="0"/>
          <c:order val="0"/>
          <c:tx>
            <c:strRef>
              <c:f>'Fig15 ImpByDrones'!$J$38</c:f>
              <c:strCache>
                <c:ptCount val="1"/>
                <c:pt idx="0">
                  <c:v>Vanilla mTSP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'Fig15 ImpByDrones'!$I$39:$I$48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'Fig15 ImpByDrones'!$J$39:$J$48</c:f>
              <c:numCache>
                <c:formatCode>0</c:formatCode>
                <c:ptCount val="9"/>
                <c:pt idx="0">
                  <c:v>5490.9175000000005</c:v>
                </c:pt>
                <c:pt idx="1">
                  <c:v>6473.4037499999995</c:v>
                </c:pt>
                <c:pt idx="2">
                  <c:v>7239.1049999999996</c:v>
                </c:pt>
                <c:pt idx="3">
                  <c:v>8866.1728571428575</c:v>
                </c:pt>
                <c:pt idx="4">
                  <c:v>9184.6785714285706</c:v>
                </c:pt>
                <c:pt idx="5">
                  <c:v>9902.238571428572</c:v>
                </c:pt>
                <c:pt idx="6">
                  <c:v>10667.715714285714</c:v>
                </c:pt>
                <c:pt idx="7">
                  <c:v>11375.641428571429</c:v>
                </c:pt>
                <c:pt idx="8">
                  <c:v>13139.038333333336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31-490F-9870-72CF4EB9CF93}"/>
            </c:ext>
          </c:extLst>
        </c:ser>
        <c:ser>
          <c:idx val="1"/>
          <c:order val="1"/>
          <c:tx>
            <c:strRef>
              <c:f>'Fig15 ImpByDrones'!$K$38</c:f>
              <c:strCache>
                <c:ptCount val="1"/>
                <c:pt idx="0">
                  <c:v>After Centering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'Fig15 ImpByDrones'!$I$39:$I$48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'Fig15 ImpByDrones'!$K$39:$K$48</c:f>
              <c:numCache>
                <c:formatCode>0</c:formatCode>
                <c:ptCount val="9"/>
                <c:pt idx="0">
                  <c:v>5226.9662500000004</c:v>
                </c:pt>
                <c:pt idx="1">
                  <c:v>6015.1662500000002</c:v>
                </c:pt>
                <c:pt idx="2">
                  <c:v>6604.4437500000004</c:v>
                </c:pt>
                <c:pt idx="3">
                  <c:v>7845.4471428571424</c:v>
                </c:pt>
                <c:pt idx="4">
                  <c:v>8083.4971428571425</c:v>
                </c:pt>
                <c:pt idx="5">
                  <c:v>8606.8914285714291</c:v>
                </c:pt>
                <c:pt idx="6">
                  <c:v>9103.511428571428</c:v>
                </c:pt>
                <c:pt idx="7">
                  <c:v>9571.2185714285697</c:v>
                </c:pt>
                <c:pt idx="8">
                  <c:v>10945.498333333335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31-490F-9870-72CF4EB9C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1008271"/>
        <c:axId val="128690479"/>
      </c:lineChart>
      <c:lineChart>
        <c:grouping val="standard"/>
        <c:varyColors val="0"/>
        <c:ser>
          <c:idx val="2"/>
          <c:order val="2"/>
          <c:tx>
            <c:strRef>
              <c:f>'Fig15 ImpByDrones'!$L$38</c:f>
              <c:strCache>
                <c:ptCount val="1"/>
                <c:pt idx="0">
                  <c:v>Diff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star"/>
            <c:size val="5"/>
            <c:spPr>
              <a:solidFill>
                <a:schemeClr val="bg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'Fig15 ImpByDrones'!$I$39:$I$48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'Fig15 ImpByDrones'!$L$39:$L$48</c:f>
              <c:numCache>
                <c:formatCode>0</c:formatCode>
                <c:ptCount val="9"/>
                <c:pt idx="0">
                  <c:v>263.95249999999999</c:v>
                </c:pt>
                <c:pt idx="1">
                  <c:v>458.23750000000001</c:v>
                </c:pt>
                <c:pt idx="2">
                  <c:v>634.66125</c:v>
                </c:pt>
                <c:pt idx="3">
                  <c:v>1020.7257142857143</c:v>
                </c:pt>
                <c:pt idx="4">
                  <c:v>1101.1814285714286</c:v>
                </c:pt>
                <c:pt idx="5">
                  <c:v>1295.3485714285712</c:v>
                </c:pt>
                <c:pt idx="6">
                  <c:v>1564.2014285714283</c:v>
                </c:pt>
                <c:pt idx="7">
                  <c:v>1804.4228571428571</c:v>
                </c:pt>
                <c:pt idx="8">
                  <c:v>2193.5399999999995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A0-4B18-8A1F-0BD226147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7078112"/>
        <c:axId val="660206400"/>
      </c:lineChart>
      <c:catAx>
        <c:axId val="1781008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28690479"/>
        <c:crosses val="autoZero"/>
        <c:auto val="1"/>
        <c:lblAlgn val="ctr"/>
        <c:lblOffset val="100"/>
        <c:noMultiLvlLbl val="0"/>
      </c:catAx>
      <c:valAx>
        <c:axId val="12869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81008271"/>
        <c:crosses val="autoZero"/>
        <c:crossBetween val="between"/>
      </c:valAx>
      <c:valAx>
        <c:axId val="66020640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77078112"/>
        <c:crosses val="max"/>
        <c:crossBetween val="between"/>
      </c:valAx>
      <c:catAx>
        <c:axId val="5770781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02064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 orientation="portrait"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[Fig15-16 Geometric Median Analysis.xlsx]Fig15 ImpByDrones!PivotTable6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>
            <a:solidFill>
              <a:schemeClr val="accent6"/>
            </a:solidFill>
            <a:prstDash val="sysDot"/>
            <a:round/>
          </a:ln>
          <a:effectLst/>
        </c:spPr>
        <c:marker>
          <c:symbol val="star"/>
          <c:size val="5"/>
          <c:spPr>
            <a:solidFill>
              <a:schemeClr val="bg1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3139656211549428E-2"/>
          <c:y val="0.1880354128976526"/>
          <c:w val="0.7768992141213219"/>
          <c:h val="0.57838604497428425"/>
        </c:manualLayout>
      </c:layout>
      <c:lineChart>
        <c:grouping val="standard"/>
        <c:varyColors val="0"/>
        <c:ser>
          <c:idx val="0"/>
          <c:order val="0"/>
          <c:tx>
            <c:strRef>
              <c:f>'Fig15 ImpByDrones'!$B$38</c:f>
              <c:strCache>
                <c:ptCount val="1"/>
                <c:pt idx="0">
                  <c:v>Vanilla mTSP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'Fig15 ImpByDrones'!$A$39:$A$48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'Fig15 ImpByDrones'!$B$39:$B$48</c:f>
              <c:numCache>
                <c:formatCode>0.00</c:formatCode>
                <c:ptCount val="9"/>
                <c:pt idx="0">
                  <c:v>0.26082500000000003</c:v>
                </c:pt>
                <c:pt idx="1">
                  <c:v>0.382525</c:v>
                </c:pt>
                <c:pt idx="2">
                  <c:v>0.46647499999999997</c:v>
                </c:pt>
                <c:pt idx="3">
                  <c:v>0.50895714285714289</c:v>
                </c:pt>
                <c:pt idx="4">
                  <c:v>0.5371285714285714</c:v>
                </c:pt>
                <c:pt idx="5">
                  <c:v>0.59785714285714298</c:v>
                </c:pt>
                <c:pt idx="6">
                  <c:v>0.64628571428571424</c:v>
                </c:pt>
                <c:pt idx="7">
                  <c:v>0.68294285714285718</c:v>
                </c:pt>
                <c:pt idx="8">
                  <c:v>0.69851666666666656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9E-44E8-865C-76C11DEEB808}"/>
            </c:ext>
          </c:extLst>
        </c:ser>
        <c:ser>
          <c:idx val="1"/>
          <c:order val="1"/>
          <c:tx>
            <c:strRef>
              <c:f>'Fig15 ImpByDrones'!$C$38</c:f>
              <c:strCache>
                <c:ptCount val="1"/>
                <c:pt idx="0">
                  <c:v>After Centering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'Fig15 ImpByDrones'!$A$39:$A$48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'Fig15 ImpByDrones'!$C$39:$C$48</c:f>
              <c:numCache>
                <c:formatCode>0.00</c:formatCode>
                <c:ptCount val="9"/>
                <c:pt idx="0">
                  <c:v>0.22218750000000001</c:v>
                </c:pt>
                <c:pt idx="1">
                  <c:v>0.34178749999999997</c:v>
                </c:pt>
                <c:pt idx="2">
                  <c:v>0.42296250000000002</c:v>
                </c:pt>
                <c:pt idx="3">
                  <c:v>0.45892857142857135</c:v>
                </c:pt>
                <c:pt idx="4">
                  <c:v>0.48472857142857134</c:v>
                </c:pt>
                <c:pt idx="5">
                  <c:v>0.54814285714285715</c:v>
                </c:pt>
                <c:pt idx="6">
                  <c:v>0.59832857142857143</c:v>
                </c:pt>
                <c:pt idx="7">
                  <c:v>0.63471428571428579</c:v>
                </c:pt>
                <c:pt idx="8">
                  <c:v>0.6515833333333334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9E-44E8-865C-76C11DEEB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1017871"/>
        <c:axId val="71372239"/>
      </c:lineChart>
      <c:lineChart>
        <c:grouping val="standard"/>
        <c:varyColors val="0"/>
        <c:ser>
          <c:idx val="2"/>
          <c:order val="2"/>
          <c:tx>
            <c:strRef>
              <c:f>'Fig15 ImpByDrones'!$D$38</c:f>
              <c:strCache>
                <c:ptCount val="1"/>
                <c:pt idx="0">
                  <c:v>Diff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star"/>
            <c:size val="5"/>
            <c:spPr>
              <a:solidFill>
                <a:schemeClr val="bg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'Fig15 ImpByDrones'!$A$39:$A$48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'Fig15 ImpByDrones'!$D$39:$D$48</c:f>
              <c:numCache>
                <c:formatCode>0.00</c:formatCode>
                <c:ptCount val="9"/>
                <c:pt idx="0">
                  <c:v>3.8637500000000005E-2</c:v>
                </c:pt>
                <c:pt idx="1">
                  <c:v>4.0712499999999999E-2</c:v>
                </c:pt>
                <c:pt idx="2">
                  <c:v>4.3512499999999996E-2</c:v>
                </c:pt>
                <c:pt idx="3">
                  <c:v>5.0042857142857153E-2</c:v>
                </c:pt>
                <c:pt idx="4">
                  <c:v>5.2428571428571429E-2</c:v>
                </c:pt>
                <c:pt idx="5">
                  <c:v>4.9714285714285711E-2</c:v>
                </c:pt>
                <c:pt idx="6">
                  <c:v>4.7942857142857141E-2</c:v>
                </c:pt>
                <c:pt idx="7">
                  <c:v>4.8228571428571433E-2</c:v>
                </c:pt>
                <c:pt idx="8">
                  <c:v>4.6966666666666657E-2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78-46B3-866F-94E85AEFD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7079552"/>
        <c:axId val="650200048"/>
      </c:lineChart>
      <c:catAx>
        <c:axId val="178101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1372239"/>
        <c:crosses val="autoZero"/>
        <c:auto val="1"/>
        <c:lblAlgn val="ctr"/>
        <c:lblOffset val="100"/>
        <c:noMultiLvlLbl val="0"/>
      </c:catAx>
      <c:valAx>
        <c:axId val="7137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81017871"/>
        <c:crosses val="autoZero"/>
        <c:crossBetween val="between"/>
      </c:valAx>
      <c:valAx>
        <c:axId val="650200048"/>
        <c:scaling>
          <c:orientation val="minMax"/>
        </c:scaling>
        <c:delete val="0"/>
        <c:axPos val="r"/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77079552"/>
        <c:crosses val="max"/>
        <c:crossBetween val="between"/>
      </c:valAx>
      <c:catAx>
        <c:axId val="5770795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502000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 orientation="portrait"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[Fig15-16 Geometric Median Analysis.xlsx]Fig15 ImpByDrones!PivotTable10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SPD</a:t>
            </a:r>
            <a:endParaRPr lang="en-GB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4"/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>
            <a:solidFill>
              <a:schemeClr val="accent4"/>
            </a:solidFill>
            <a:prstDash val="sysDot"/>
            <a:round/>
          </a:ln>
          <a:effectLst/>
        </c:spPr>
        <c:marker>
          <c:symbol val="star"/>
          <c:size val="5"/>
          <c:spPr>
            <a:solidFill>
              <a:schemeClr val="bg1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491395945143427"/>
          <c:y val="0.18727571704944027"/>
          <c:w val="0.71694112337105054"/>
          <c:h val="0.58008943885230746"/>
        </c:manualLayout>
      </c:layout>
      <c:lineChart>
        <c:grouping val="standard"/>
        <c:varyColors val="0"/>
        <c:ser>
          <c:idx val="0"/>
          <c:order val="0"/>
          <c:tx>
            <c:strRef>
              <c:f>'Fig15 ImpByDrones'!$O$38</c:f>
              <c:strCache>
                <c:ptCount val="1"/>
                <c:pt idx="0">
                  <c:v>Vanilla mTSP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'Fig15 ImpByDrones'!$N$39:$N$48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'Fig15 ImpByDrones'!$O$39:$O$48</c:f>
              <c:numCache>
                <c:formatCode>0</c:formatCode>
                <c:ptCount val="9"/>
                <c:pt idx="0">
                  <c:v>1130.6000000000001</c:v>
                </c:pt>
                <c:pt idx="1">
                  <c:v>2027.1187500000001</c:v>
                </c:pt>
                <c:pt idx="2">
                  <c:v>2858.2787499999999</c:v>
                </c:pt>
                <c:pt idx="3">
                  <c:v>4124.2057142857138</c:v>
                </c:pt>
                <c:pt idx="4">
                  <c:v>4539.1171428571424</c:v>
                </c:pt>
                <c:pt idx="5">
                  <c:v>5551.4685714285715</c:v>
                </c:pt>
                <c:pt idx="6">
                  <c:v>6546.54</c:v>
                </c:pt>
                <c:pt idx="7">
                  <c:v>7428.4528571428573</c:v>
                </c:pt>
                <c:pt idx="8">
                  <c:v>8911.7333333333354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E-4A8A-8689-34108C05DB2F}"/>
            </c:ext>
          </c:extLst>
        </c:ser>
        <c:ser>
          <c:idx val="1"/>
          <c:order val="1"/>
          <c:tx>
            <c:strRef>
              <c:f>'Fig15 ImpByDrones'!$P$38</c:f>
              <c:strCache>
                <c:ptCount val="1"/>
                <c:pt idx="0">
                  <c:v>After Centering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'Fig15 ImpByDrones'!$N$39:$N$48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'Fig15 ImpByDrones'!$P$39:$P$48</c:f>
              <c:numCache>
                <c:formatCode>0</c:formatCode>
                <c:ptCount val="9"/>
                <c:pt idx="0">
                  <c:v>866.64875000000006</c:v>
                </c:pt>
                <c:pt idx="1">
                  <c:v>1568.88375</c:v>
                </c:pt>
                <c:pt idx="2">
                  <c:v>2223.61625</c:v>
                </c:pt>
                <c:pt idx="3">
                  <c:v>3103.477142857143</c:v>
                </c:pt>
                <c:pt idx="4">
                  <c:v>3437.937142857143</c:v>
                </c:pt>
                <c:pt idx="5">
                  <c:v>4256.1228571428564</c:v>
                </c:pt>
                <c:pt idx="6">
                  <c:v>4982.3357142857149</c:v>
                </c:pt>
                <c:pt idx="7">
                  <c:v>5624.0314285714285</c:v>
                </c:pt>
                <c:pt idx="8">
                  <c:v>6718.1933333333336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CE-4A8A-8689-34108C05D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1038511"/>
        <c:axId val="71368767"/>
      </c:lineChart>
      <c:lineChart>
        <c:grouping val="standard"/>
        <c:varyColors val="0"/>
        <c:ser>
          <c:idx val="2"/>
          <c:order val="2"/>
          <c:tx>
            <c:strRef>
              <c:f>'Fig15 ImpByDrones'!$Q$38</c:f>
              <c:strCache>
                <c:ptCount val="1"/>
                <c:pt idx="0">
                  <c:v>Diff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star"/>
            <c:size val="5"/>
            <c:spPr>
              <a:solidFill>
                <a:schemeClr val="bg1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'Fig15 ImpByDrones'!$N$39:$N$48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'Fig15 ImpByDrones'!$Q$39:$Q$48</c:f>
              <c:numCache>
                <c:formatCode>0</c:formatCode>
                <c:ptCount val="9"/>
                <c:pt idx="0">
                  <c:v>263.95249999999999</c:v>
                </c:pt>
                <c:pt idx="1">
                  <c:v>458.23750000000001</c:v>
                </c:pt>
                <c:pt idx="2">
                  <c:v>634.66125</c:v>
                </c:pt>
                <c:pt idx="3">
                  <c:v>1020.7257142857143</c:v>
                </c:pt>
                <c:pt idx="4">
                  <c:v>1101.1814285714286</c:v>
                </c:pt>
                <c:pt idx="5">
                  <c:v>1295.3471428571427</c:v>
                </c:pt>
                <c:pt idx="6">
                  <c:v>1564.2014285714283</c:v>
                </c:pt>
                <c:pt idx="7">
                  <c:v>1804.4228571428571</c:v>
                </c:pt>
                <c:pt idx="8">
                  <c:v>2193.5399999999995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12-4A66-8666-ACB79E5F0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7087232"/>
        <c:axId val="587946720"/>
      </c:lineChart>
      <c:catAx>
        <c:axId val="178103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1368767"/>
        <c:crosses val="autoZero"/>
        <c:auto val="1"/>
        <c:lblAlgn val="ctr"/>
        <c:lblOffset val="100"/>
        <c:noMultiLvlLbl val="0"/>
      </c:catAx>
      <c:valAx>
        <c:axId val="7136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81038511"/>
        <c:crosses val="autoZero"/>
        <c:crossBetween val="between"/>
      </c:valAx>
      <c:valAx>
        <c:axId val="58794672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77087232"/>
        <c:crosses val="max"/>
        <c:crossBetween val="between"/>
      </c:valAx>
      <c:catAx>
        <c:axId val="577087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7946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 orientation="portrait"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[Fig15-16 Geometric Median Analysis.xlsx]Fig 16 ImpByStations!Συγκεντρωτικός Πίνακας1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41275" cap="rnd">
            <a:solidFill>
              <a:schemeClr val="accent4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819803062986261"/>
          <c:y val="0.12223188097635412"/>
          <c:w val="0.73564890247810466"/>
          <c:h val="0.70709438965359817"/>
        </c:manualLayout>
      </c:layout>
      <c:lineChart>
        <c:grouping val="standard"/>
        <c:varyColors val="0"/>
        <c:ser>
          <c:idx val="0"/>
          <c:order val="0"/>
          <c:tx>
            <c:strRef>
              <c:f>'Fig 16 ImpByStations'!$B$5</c:f>
              <c:strCache>
                <c:ptCount val="1"/>
                <c:pt idx="0">
                  <c:v>SPD</c:v>
                </c:pt>
              </c:strCache>
            </c:strRef>
          </c:tx>
          <c:spPr>
            <a:ln w="41275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'Fig 16 ImpByStations'!$A$6:$A$14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 16 ImpByStations'!$B$6:$B$14</c:f>
              <c:numCache>
                <c:formatCode>0%</c:formatCode>
                <c:ptCount val="8"/>
                <c:pt idx="0">
                  <c:v>0.32666666666666666</c:v>
                </c:pt>
                <c:pt idx="1">
                  <c:v>0.29375000000000001</c:v>
                </c:pt>
                <c:pt idx="2">
                  <c:v>0.26999999999999996</c:v>
                </c:pt>
                <c:pt idx="3">
                  <c:v>0.25111111111111112</c:v>
                </c:pt>
                <c:pt idx="4">
                  <c:v>0.21777777777777774</c:v>
                </c:pt>
                <c:pt idx="5">
                  <c:v>0.19</c:v>
                </c:pt>
                <c:pt idx="6">
                  <c:v>0.17333333333333331</c:v>
                </c:pt>
                <c:pt idx="7">
                  <c:v>0.13111111111111112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749-4E2A-8F18-644D8048CD82}"/>
            </c:ext>
          </c:extLst>
        </c:ser>
        <c:ser>
          <c:idx val="1"/>
          <c:order val="1"/>
          <c:tx>
            <c:strRef>
              <c:f>'Fig 16 ImpByStations'!$C$5</c:f>
              <c:strCache>
                <c:ptCount val="1"/>
                <c:pt idx="0">
                  <c:v>Distance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'Fig 16 ImpByStations'!$A$6:$A$14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 16 ImpByStations'!$C$6:$C$14</c:f>
              <c:numCache>
                <c:formatCode>0%</c:formatCode>
                <c:ptCount val="8"/>
                <c:pt idx="0">
                  <c:v>0.25333333333333335</c:v>
                </c:pt>
                <c:pt idx="1">
                  <c:v>0.22125</c:v>
                </c:pt>
                <c:pt idx="2">
                  <c:v>0.18999999999999997</c:v>
                </c:pt>
                <c:pt idx="3">
                  <c:v>0.16222222222222221</c:v>
                </c:pt>
                <c:pt idx="4">
                  <c:v>0.12555555555555553</c:v>
                </c:pt>
                <c:pt idx="5">
                  <c:v>8.8888888888888892E-2</c:v>
                </c:pt>
                <c:pt idx="6">
                  <c:v>6.8888888888888888E-2</c:v>
                </c:pt>
                <c:pt idx="7">
                  <c:v>3.5555555555555556E-2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4C-49C4-98DF-BD3BB70CFF4D}"/>
            </c:ext>
          </c:extLst>
        </c:ser>
        <c:ser>
          <c:idx val="2"/>
          <c:order val="2"/>
          <c:tx>
            <c:strRef>
              <c:f>'Fig 16 ImpByStations'!$D$5</c:f>
              <c:strCache>
                <c:ptCount val="1"/>
                <c:pt idx="0">
                  <c:v>SPF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'Fig 16 ImpByStations'!$A$6:$A$14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 16 ImpByStations'!$D$6:$D$14</c:f>
              <c:numCache>
                <c:formatCode>0%</c:formatCode>
                <c:ptCount val="8"/>
                <c:pt idx="0">
                  <c:v>8.879999999999999E-2</c:v>
                </c:pt>
                <c:pt idx="1">
                  <c:v>8.6175000000000002E-2</c:v>
                </c:pt>
                <c:pt idx="2">
                  <c:v>9.003333333333334E-2</c:v>
                </c:pt>
                <c:pt idx="3">
                  <c:v>9.7933333333333344E-2</c:v>
                </c:pt>
                <c:pt idx="4">
                  <c:v>9.5844444444444427E-2</c:v>
                </c:pt>
                <c:pt idx="5">
                  <c:v>0.10482222222222222</c:v>
                </c:pt>
                <c:pt idx="6">
                  <c:v>0.10646666666666667</c:v>
                </c:pt>
                <c:pt idx="7">
                  <c:v>9.6433333333333329E-2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36-402C-ABD5-FA95A2624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6882160"/>
        <c:axId val="1936862192"/>
      </c:lineChart>
      <c:catAx>
        <c:axId val="193688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36862192"/>
        <c:crosses val="autoZero"/>
        <c:auto val="1"/>
        <c:lblAlgn val="ctr"/>
        <c:lblOffset val="100"/>
        <c:noMultiLvlLbl val="0"/>
      </c:catAx>
      <c:valAx>
        <c:axId val="193686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3688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 paperSize="9" orientation="landscape"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[Fig15-16 Geometric Median Analysis.xlsx]Fig 16 ImpByStations!PivotTable2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>
            <a:solidFill>
              <a:schemeClr val="accent6"/>
            </a:solidFill>
            <a:prstDash val="sysDot"/>
            <a:round/>
          </a:ln>
          <a:effectLst/>
        </c:spPr>
        <c:marker>
          <c:symbol val="star"/>
          <c:size val="5"/>
          <c:spPr>
            <a:solidFill>
              <a:schemeClr val="bg1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7073966139328334E-2"/>
          <c:y val="0.18656926870730786"/>
          <c:w val="0.77077296697196773"/>
          <c:h val="0.58167344090254847"/>
        </c:manualLayout>
      </c:layout>
      <c:lineChart>
        <c:grouping val="standard"/>
        <c:varyColors val="0"/>
        <c:ser>
          <c:idx val="0"/>
          <c:order val="0"/>
          <c:tx>
            <c:strRef>
              <c:f>'Fig 16 ImpByStations'!$B$37</c:f>
              <c:strCache>
                <c:ptCount val="1"/>
                <c:pt idx="0">
                  <c:v>Vanilla mTSP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'Fig 16 ImpByStations'!$A$38:$A$46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 16 ImpByStations'!$B$38:$B$46</c:f>
              <c:numCache>
                <c:formatCode>0.00</c:formatCode>
                <c:ptCount val="8"/>
                <c:pt idx="0">
                  <c:v>0.77219999999999989</c:v>
                </c:pt>
                <c:pt idx="1">
                  <c:v>0.73353749999999995</c:v>
                </c:pt>
                <c:pt idx="2">
                  <c:v>0.68608888888888886</c:v>
                </c:pt>
                <c:pt idx="3">
                  <c:v>0.61974444444444432</c:v>
                </c:pt>
                <c:pt idx="4">
                  <c:v>0.55710000000000004</c:v>
                </c:pt>
                <c:pt idx="5">
                  <c:v>0.41851111111111111</c:v>
                </c:pt>
                <c:pt idx="6">
                  <c:v>0.34951111111111116</c:v>
                </c:pt>
                <c:pt idx="7">
                  <c:v>0.2242666666666667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92-41C6-919C-FC306F4E6731}"/>
            </c:ext>
          </c:extLst>
        </c:ser>
        <c:ser>
          <c:idx val="1"/>
          <c:order val="1"/>
          <c:tx>
            <c:strRef>
              <c:f>'Fig 16 ImpByStations'!$C$37</c:f>
              <c:strCache>
                <c:ptCount val="1"/>
                <c:pt idx="0">
                  <c:v>After Centering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'Fig 16 ImpByStations'!$A$38:$A$46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 16 ImpByStations'!$C$38:$C$46</c:f>
              <c:numCache>
                <c:formatCode>0.00</c:formatCode>
                <c:ptCount val="8"/>
                <c:pt idx="0">
                  <c:v>0.7070333333333334</c:v>
                </c:pt>
                <c:pt idx="1">
                  <c:v>0.67489999999999994</c:v>
                </c:pt>
                <c:pt idx="2">
                  <c:v>0.63178888888888896</c:v>
                </c:pt>
                <c:pt idx="3">
                  <c:v>0.56523333333333325</c:v>
                </c:pt>
                <c:pt idx="4">
                  <c:v>0.50878888888888896</c:v>
                </c:pt>
                <c:pt idx="5">
                  <c:v>0.37542222222222221</c:v>
                </c:pt>
                <c:pt idx="6">
                  <c:v>0.31221111111111116</c:v>
                </c:pt>
                <c:pt idx="7">
                  <c:v>0.20195555555555553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92-41C6-919C-FC306F4E6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809103"/>
        <c:axId val="1294097775"/>
      </c:lineChart>
      <c:lineChart>
        <c:grouping val="standard"/>
        <c:varyColors val="0"/>
        <c:ser>
          <c:idx val="2"/>
          <c:order val="2"/>
          <c:tx>
            <c:strRef>
              <c:f>'Fig 16 ImpByStations'!$D$37</c:f>
              <c:strCache>
                <c:ptCount val="1"/>
                <c:pt idx="0">
                  <c:v>Diff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star"/>
            <c:size val="5"/>
            <c:spPr>
              <a:solidFill>
                <a:schemeClr val="bg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'Fig 16 ImpByStations'!$A$38:$A$46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 16 ImpByStations'!$D$38:$D$46</c:f>
              <c:numCache>
                <c:formatCode>0.00</c:formatCode>
                <c:ptCount val="8"/>
                <c:pt idx="0">
                  <c:v>6.5199999999999994E-2</c:v>
                </c:pt>
                <c:pt idx="1">
                  <c:v>5.8649999999999994E-2</c:v>
                </c:pt>
                <c:pt idx="2">
                  <c:v>5.4311111111111109E-2</c:v>
                </c:pt>
                <c:pt idx="3">
                  <c:v>5.4499999999999993E-2</c:v>
                </c:pt>
                <c:pt idx="4">
                  <c:v>4.8299999999999996E-2</c:v>
                </c:pt>
                <c:pt idx="5">
                  <c:v>4.3077777777777777E-2</c:v>
                </c:pt>
                <c:pt idx="6">
                  <c:v>3.7288888888888892E-2</c:v>
                </c:pt>
                <c:pt idx="7">
                  <c:v>2.2344444444444445E-2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73-4FDD-9B2B-B2E2A7F31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384912"/>
        <c:axId val="275162256"/>
      </c:lineChart>
      <c:catAx>
        <c:axId val="129080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294097775"/>
        <c:crosses val="autoZero"/>
        <c:auto val="1"/>
        <c:lblAlgn val="ctr"/>
        <c:lblOffset val="100"/>
        <c:noMultiLvlLbl val="0"/>
      </c:catAx>
      <c:valAx>
        <c:axId val="129409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290809103"/>
        <c:crosses val="autoZero"/>
        <c:crossBetween val="between"/>
      </c:valAx>
      <c:valAx>
        <c:axId val="275162256"/>
        <c:scaling>
          <c:orientation val="minMax"/>
        </c:scaling>
        <c:delete val="0"/>
        <c:axPos val="r"/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21384912"/>
        <c:crosses val="max"/>
        <c:crossBetween val="between"/>
      </c:valAx>
      <c:catAx>
        <c:axId val="421384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51622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[Fig15-16 Geometric Median Analysis.xlsx]Fig 16 ImpByStations!PivotTable3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>
            <a:solidFill>
              <a:schemeClr val="accent2"/>
            </a:solidFill>
            <a:prstDash val="sysDot"/>
            <a:round/>
          </a:ln>
          <a:effectLst/>
        </c:spPr>
        <c:marker>
          <c:symbol val="star"/>
          <c:size val="5"/>
          <c:spPr>
            <a:noFill/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058932371172171"/>
          <c:y val="0.18727571704944027"/>
          <c:w val="0.72759367194004998"/>
          <c:h val="0.58008943885230746"/>
        </c:manualLayout>
      </c:layout>
      <c:lineChart>
        <c:grouping val="standard"/>
        <c:varyColors val="0"/>
        <c:ser>
          <c:idx val="0"/>
          <c:order val="0"/>
          <c:tx>
            <c:strRef>
              <c:f>'Fig 16 ImpByStations'!$I$37</c:f>
              <c:strCache>
                <c:ptCount val="1"/>
                <c:pt idx="0">
                  <c:v>Vanilla mTSP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'Fig 16 ImpByStations'!$H$38:$H$46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 16 ImpByStations'!$I$38:$I$46</c:f>
              <c:numCache>
                <c:formatCode>0</c:formatCode>
                <c:ptCount val="8"/>
                <c:pt idx="0">
                  <c:v>3448.3166666666671</c:v>
                </c:pt>
                <c:pt idx="1">
                  <c:v>5856.3275000000003</c:v>
                </c:pt>
                <c:pt idx="2">
                  <c:v>7399.565555555555</c:v>
                </c:pt>
                <c:pt idx="3">
                  <c:v>8136.6100000000006</c:v>
                </c:pt>
                <c:pt idx="4">
                  <c:v>8425.3588888888899</c:v>
                </c:pt>
                <c:pt idx="5">
                  <c:v>10146.295555555555</c:v>
                </c:pt>
                <c:pt idx="6">
                  <c:v>11115.55111111111</c:v>
                </c:pt>
                <c:pt idx="7">
                  <c:v>13136.752222222221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F4-4BF9-9B73-54C629A21011}"/>
            </c:ext>
          </c:extLst>
        </c:ser>
        <c:ser>
          <c:idx val="1"/>
          <c:order val="1"/>
          <c:tx>
            <c:strRef>
              <c:f>'Fig 16 ImpByStations'!$J$37</c:f>
              <c:strCache>
                <c:ptCount val="1"/>
                <c:pt idx="0">
                  <c:v>After Centering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'Fig 16 ImpByStations'!$H$38:$H$46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 16 ImpByStations'!$J$38:$J$46</c:f>
              <c:numCache>
                <c:formatCode>0</c:formatCode>
                <c:ptCount val="8"/>
                <c:pt idx="0">
                  <c:v>2574.89</c:v>
                </c:pt>
                <c:pt idx="1">
                  <c:v>4499.8312499999993</c:v>
                </c:pt>
                <c:pt idx="2">
                  <c:v>5919.4111111111106</c:v>
                </c:pt>
                <c:pt idx="3">
                  <c:v>6691.7955555555554</c:v>
                </c:pt>
                <c:pt idx="4">
                  <c:v>7273.2677777777781</c:v>
                </c:pt>
                <c:pt idx="5">
                  <c:v>9134.9677777777761</c:v>
                </c:pt>
                <c:pt idx="6">
                  <c:v>10247.995555555557</c:v>
                </c:pt>
                <c:pt idx="7">
                  <c:v>12643.255555555555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F4-4BF9-9B73-54C629A21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0761791"/>
        <c:axId val="712440847"/>
      </c:lineChart>
      <c:lineChart>
        <c:grouping val="standard"/>
        <c:varyColors val="0"/>
        <c:ser>
          <c:idx val="2"/>
          <c:order val="2"/>
          <c:tx>
            <c:strRef>
              <c:f>'Fig 16 ImpByStations'!$K$37</c:f>
              <c:strCache>
                <c:ptCount val="1"/>
                <c:pt idx="0">
                  <c:v>Diff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'Fig 16 ImpByStations'!$H$38:$H$46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 16 ImpByStations'!$K$38:$K$46</c:f>
              <c:numCache>
                <c:formatCode>0</c:formatCode>
                <c:ptCount val="8"/>
                <c:pt idx="0">
                  <c:v>873.42333333333329</c:v>
                </c:pt>
                <c:pt idx="1">
                  <c:v>1356.4962500000001</c:v>
                </c:pt>
                <c:pt idx="2">
                  <c:v>1480.1544444444444</c:v>
                </c:pt>
                <c:pt idx="3">
                  <c:v>1444.8155555555556</c:v>
                </c:pt>
                <c:pt idx="4">
                  <c:v>1152.0911111111109</c:v>
                </c:pt>
                <c:pt idx="5">
                  <c:v>1011.3266666666665</c:v>
                </c:pt>
                <c:pt idx="6">
                  <c:v>867.55666666666673</c:v>
                </c:pt>
                <c:pt idx="7">
                  <c:v>493.49666666666667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B6-4CDC-82C2-B4D0456A5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5387472"/>
        <c:axId val="238433872"/>
      </c:lineChart>
      <c:catAx>
        <c:axId val="142076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12440847"/>
        <c:crosses val="autoZero"/>
        <c:auto val="1"/>
        <c:lblAlgn val="ctr"/>
        <c:lblOffset val="100"/>
        <c:noMultiLvlLbl val="0"/>
      </c:catAx>
      <c:valAx>
        <c:axId val="71244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420761791"/>
        <c:crosses val="autoZero"/>
        <c:crossBetween val="between"/>
      </c:valAx>
      <c:valAx>
        <c:axId val="23843387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235387472"/>
        <c:crosses val="max"/>
        <c:crossBetween val="between"/>
      </c:valAx>
      <c:catAx>
        <c:axId val="235387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84338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[Fig15-16 Geometric Median Analysis.xlsx]Fig 16 ImpByStations!PivotTable4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ivotFmts>
      <c:pivotFmt>
        <c:idx val="0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4"/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flat">
            <a:solidFill>
              <a:schemeClr val="accent4"/>
            </a:solidFill>
            <a:prstDash val="sysDot"/>
            <a:round/>
          </a:ln>
          <a:effectLst/>
        </c:spPr>
        <c:marker>
          <c:symbol val="star"/>
          <c:size val="5"/>
          <c:spPr>
            <a:noFill/>
            <a:ln w="9525" cap="sq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19050" cap="flat">
            <a:solidFill>
              <a:schemeClr val="accent4"/>
            </a:solidFill>
            <a:prstDash val="sysDot"/>
            <a:round/>
          </a:ln>
          <a:effectLst/>
        </c:spPr>
        <c:marker>
          <c:symbol val="star"/>
          <c:size val="5"/>
          <c:spPr>
            <a:noFill/>
            <a:ln w="9525" cap="sq">
              <a:solidFill>
                <a:schemeClr val="accent4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9.719493015080026E-2"/>
          <c:y val="0.18727571704944027"/>
          <c:w val="0.74098806550097129"/>
          <c:h val="0.58008943885230746"/>
        </c:manualLayout>
      </c:layout>
      <c:lineChart>
        <c:grouping val="standard"/>
        <c:varyColors val="0"/>
        <c:ser>
          <c:idx val="0"/>
          <c:order val="0"/>
          <c:tx>
            <c:strRef>
              <c:f>'Fig 16 ImpByStations'!$N$37</c:f>
              <c:strCache>
                <c:ptCount val="1"/>
                <c:pt idx="0">
                  <c:v>Vanilla mTSP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'Fig 16 ImpByStations'!$M$38:$M$46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 16 ImpByStations'!$N$38:$N$46</c:f>
              <c:numCache>
                <c:formatCode>0</c:formatCode>
                <c:ptCount val="8"/>
                <c:pt idx="0">
                  <c:v>2712.32</c:v>
                </c:pt>
                <c:pt idx="1">
                  <c:v>4479.3050000000003</c:v>
                </c:pt>
                <c:pt idx="2">
                  <c:v>5444.3311111111116</c:v>
                </c:pt>
                <c:pt idx="3">
                  <c:v>5482.7333333333336</c:v>
                </c:pt>
                <c:pt idx="4">
                  <c:v>5117.4733333333334</c:v>
                </c:pt>
                <c:pt idx="5">
                  <c:v>4701.5488888888895</c:v>
                </c:pt>
                <c:pt idx="6">
                  <c:v>4328.6322222222225</c:v>
                </c:pt>
                <c:pt idx="7">
                  <c:v>3253.6666666666665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8C-4901-A965-4CF50DD0010B}"/>
            </c:ext>
          </c:extLst>
        </c:ser>
        <c:ser>
          <c:idx val="1"/>
          <c:order val="1"/>
          <c:tx>
            <c:strRef>
              <c:f>'Fig 16 ImpByStations'!$O$37</c:f>
              <c:strCache>
                <c:ptCount val="1"/>
                <c:pt idx="0">
                  <c:v>After Centering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'Fig 16 ImpByStations'!$M$38:$M$46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 16 ImpByStations'!$O$38:$O$46</c:f>
              <c:numCache>
                <c:formatCode>0</c:formatCode>
                <c:ptCount val="8"/>
                <c:pt idx="0">
                  <c:v>1838.8933333333334</c:v>
                </c:pt>
                <c:pt idx="1">
                  <c:v>3122.8062500000001</c:v>
                </c:pt>
                <c:pt idx="2">
                  <c:v>3964.1788888888891</c:v>
                </c:pt>
                <c:pt idx="3">
                  <c:v>4037.9188888888884</c:v>
                </c:pt>
                <c:pt idx="4">
                  <c:v>3965.3822222222225</c:v>
                </c:pt>
                <c:pt idx="5">
                  <c:v>3690.2222222222222</c:v>
                </c:pt>
                <c:pt idx="6">
                  <c:v>3461.0777777777785</c:v>
                </c:pt>
                <c:pt idx="7">
                  <c:v>2760.17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8C-4901-A965-4CF50DD00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7984895"/>
        <c:axId val="1295012335"/>
      </c:lineChart>
      <c:lineChart>
        <c:grouping val="standard"/>
        <c:varyColors val="0"/>
        <c:ser>
          <c:idx val="2"/>
          <c:order val="2"/>
          <c:tx>
            <c:strRef>
              <c:f>'Fig 16 ImpByStations'!$P$37</c:f>
              <c:strCache>
                <c:ptCount val="1"/>
                <c:pt idx="0">
                  <c:v>Diff</c:v>
                </c:pt>
              </c:strCache>
            </c:strRef>
          </c:tx>
          <c:spPr>
            <a:ln w="19050" cap="flat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star"/>
            <c:size val="5"/>
            <c:spPr>
              <a:noFill/>
              <a:ln w="9525" cap="sq">
                <a:solidFill>
                  <a:schemeClr val="accent4"/>
                </a:solidFill>
              </a:ln>
              <a:effectLst/>
            </c:spPr>
          </c:marker>
          <c:cat>
            <c:strRef>
              <c:f>'Fig 16 ImpByStations'!$M$38:$M$46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 16 ImpByStations'!$P$38:$P$46</c:f>
              <c:numCache>
                <c:formatCode>0</c:formatCode>
                <c:ptCount val="8"/>
                <c:pt idx="0">
                  <c:v>873.42333333333329</c:v>
                </c:pt>
                <c:pt idx="1">
                  <c:v>1356.4962500000001</c:v>
                </c:pt>
                <c:pt idx="2">
                  <c:v>1480.1544444444444</c:v>
                </c:pt>
                <c:pt idx="3">
                  <c:v>1444.8155555555556</c:v>
                </c:pt>
                <c:pt idx="4">
                  <c:v>1152.0911111111109</c:v>
                </c:pt>
                <c:pt idx="5">
                  <c:v>1011.3266666666665</c:v>
                </c:pt>
                <c:pt idx="6">
                  <c:v>867.55666666666673</c:v>
                </c:pt>
                <c:pt idx="7">
                  <c:v>493.49555555555554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98-4A1F-B132-852364C87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6943408"/>
        <c:axId val="238438336"/>
      </c:lineChart>
      <c:catAx>
        <c:axId val="717984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295012335"/>
        <c:crosses val="autoZero"/>
        <c:auto val="1"/>
        <c:lblAlgn val="ctr"/>
        <c:lblOffset val="100"/>
        <c:noMultiLvlLbl val="0"/>
      </c:catAx>
      <c:valAx>
        <c:axId val="129501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17984895"/>
        <c:crosses val="autoZero"/>
        <c:crossBetween val="between"/>
      </c:valAx>
      <c:valAx>
        <c:axId val="238438336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2106943408"/>
        <c:crosses val="max"/>
        <c:crossBetween val="between"/>
      </c:valAx>
      <c:catAx>
        <c:axId val="21069434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84383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330992</xdr:colOff>
      <xdr:row>3</xdr:row>
      <xdr:rowOff>2379</xdr:rowOff>
    </xdr:from>
    <xdr:to>
      <xdr:col>14</xdr:col>
      <xdr:colOff>306280</xdr:colOff>
      <xdr:row>18</xdr:row>
      <xdr:rowOff>167754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51AD6C5F-9C6C-4DA7-AC1F-914167CD52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521494</xdr:colOff>
      <xdr:row>20</xdr:row>
      <xdr:rowOff>114300</xdr:rowOff>
    </xdr:from>
    <xdr:to>
      <xdr:col>12</xdr:col>
      <xdr:colOff>619819</xdr:colOff>
      <xdr:row>34</xdr:row>
      <xdr:rowOff>105412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C6F6C72-1C63-CB4B-2014-D280CE12CF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64294</xdr:colOff>
      <xdr:row>20</xdr:row>
      <xdr:rowOff>114299</xdr:rowOff>
    </xdr:from>
    <xdr:to>
      <xdr:col>6</xdr:col>
      <xdr:colOff>169481</xdr:colOff>
      <xdr:row>34</xdr:row>
      <xdr:rowOff>100649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61604E4-6CF0-B8EF-8299-1D43EDD3B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247649</xdr:colOff>
      <xdr:row>20</xdr:row>
      <xdr:rowOff>114297</xdr:rowOff>
    </xdr:from>
    <xdr:to>
      <xdr:col>19</xdr:col>
      <xdr:colOff>309974</xdr:colOff>
      <xdr:row>34</xdr:row>
      <xdr:rowOff>105409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83BDCC8-32C3-DE93-F14A-172136C816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0.42817</cdr:x>
      <cdr:y>0.87664</cdr:y>
    </cdr:from>
    <cdr:to>
      <cdr:x>0.56365</cdr:x>
      <cdr:y>0.96153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E1D76E8D-624B-FDCC-421F-0A68B149646F}"/>
            </a:ext>
          </a:extLst>
        </cdr:cNvPr>
        <cdr:cNvSpPr txBox="1"/>
      </cdr:nvSpPr>
      <cdr:spPr>
        <a:xfrm xmlns:a="http://schemas.openxmlformats.org/drawingml/2006/main">
          <a:off x="2784475" y="2803525"/>
          <a:ext cx="881063" cy="2714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 b="1"/>
            <a:t>Drones</a:t>
          </a:r>
          <a:endParaRPr lang="el-GR" sz="1400" b="1"/>
        </a:p>
      </cdr:txBody>
    </cdr:sp>
  </cdr:relSizeAnchor>
  <cdr:relSizeAnchor xmlns:cdr="http://schemas.openxmlformats.org/drawingml/2006/chartDrawing">
    <cdr:from>
      <cdr:x>0.01285</cdr:x>
      <cdr:y>0.27035</cdr:y>
    </cdr:from>
    <cdr:to>
      <cdr:x>0.06631</cdr:x>
      <cdr:y>0.68003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EE224AD5-A0AE-3A0A-B653-F4B812BD64F2}"/>
            </a:ext>
          </a:extLst>
        </cdr:cNvPr>
        <cdr:cNvSpPr txBox="1"/>
      </cdr:nvSpPr>
      <cdr:spPr>
        <a:xfrm xmlns:a="http://schemas.openxmlformats.org/drawingml/2006/main" rot="16200000">
          <a:off x="-290717" y="1166477"/>
          <a:ext cx="1179878" cy="4041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400" b="1"/>
            <a:t>Improvement</a:t>
          </a:r>
          <a:endParaRPr lang="el-GR" sz="1400" b="1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0.92702</cdr:x>
      <cdr:y>0.37475</cdr:y>
    </cdr:from>
    <cdr:to>
      <cdr:x>0.98985</cdr:x>
      <cdr:y>0.55361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0F977C1-85B2-E8C0-C751-4195DE16AF3F}"/>
            </a:ext>
          </a:extLst>
        </cdr:cNvPr>
        <cdr:cNvSpPr txBox="1"/>
      </cdr:nvSpPr>
      <cdr:spPr>
        <a:xfrm xmlns:a="http://schemas.openxmlformats.org/drawingml/2006/main" rot="16200000">
          <a:off x="4277948" y="1024303"/>
          <a:ext cx="451580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050" b="0"/>
            <a:t>Diff</a:t>
          </a:r>
          <a:endParaRPr lang="el-GR" sz="1050" b="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0.93337</cdr:x>
      <cdr:y>0.38783</cdr:y>
    </cdr:from>
    <cdr:to>
      <cdr:x>1</cdr:x>
      <cdr:y>0.5681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3EA9F99-D2AA-9F63-0C4D-F730A1601594}"/>
            </a:ext>
          </a:extLst>
        </cdr:cNvPr>
        <cdr:cNvSpPr txBox="1"/>
      </cdr:nvSpPr>
      <cdr:spPr>
        <a:xfrm xmlns:a="http://schemas.openxmlformats.org/drawingml/2006/main" rot="16200000">
          <a:off x="4058078" y="1049702"/>
          <a:ext cx="451580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050" b="0"/>
            <a:t>Diff</a:t>
          </a:r>
          <a:endParaRPr lang="el-GR" sz="1050" b="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0.91643</cdr:x>
      <cdr:y>0.37995</cdr:y>
    </cdr:from>
    <cdr:to>
      <cdr:x>0.9874</cdr:x>
      <cdr:y>0.55949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0F977C1-85B2-E8C0-C751-4195DE16AF3F}"/>
            </a:ext>
          </a:extLst>
        </cdr:cNvPr>
        <cdr:cNvSpPr txBox="1"/>
      </cdr:nvSpPr>
      <cdr:spPr>
        <a:xfrm xmlns:a="http://schemas.openxmlformats.org/drawingml/2006/main" rot="16200000">
          <a:off x="3735023" y="1033826"/>
          <a:ext cx="451580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050" b="0"/>
            <a:t>Diff</a:t>
          </a:r>
          <a:endParaRPr lang="el-GR" sz="1050" b="0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488153</xdr:colOff>
      <xdr:row>2</xdr:row>
      <xdr:rowOff>40479</xdr:rowOff>
    </xdr:from>
    <xdr:to>
      <xdr:col>14</xdr:col>
      <xdr:colOff>487253</xdr:colOff>
      <xdr:row>18</xdr:row>
      <xdr:rowOff>23813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D31AFB6E-6BDD-04F4-84B8-9261B12F8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38099</xdr:colOff>
      <xdr:row>19</xdr:row>
      <xdr:rowOff>47624</xdr:rowOff>
    </xdr:from>
    <xdr:to>
      <xdr:col>7</xdr:col>
      <xdr:colOff>408824</xdr:colOff>
      <xdr:row>33</xdr:row>
      <xdr:rowOff>38736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FA91CF-34A5-03BB-7E9B-ED3A802D4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485773</xdr:colOff>
      <xdr:row>19</xdr:row>
      <xdr:rowOff>9524</xdr:rowOff>
    </xdr:from>
    <xdr:to>
      <xdr:col>13</xdr:col>
      <xdr:colOff>323098</xdr:colOff>
      <xdr:row>32</xdr:row>
      <xdr:rowOff>172087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F953CD-0737-F6BE-A05D-CCFFE2AE0E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533400</xdr:colOff>
      <xdr:row>18</xdr:row>
      <xdr:rowOff>180973</xdr:rowOff>
    </xdr:from>
    <xdr:to>
      <xdr:col>18</xdr:col>
      <xdr:colOff>932700</xdr:colOff>
      <xdr:row>32</xdr:row>
      <xdr:rowOff>162561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09ABB1C-C1A3-C35E-9704-5A236A3E3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0.42817</cdr:x>
      <cdr:y>0.87664</cdr:y>
    </cdr:from>
    <cdr:to>
      <cdr:x>0.56365</cdr:x>
      <cdr:y>0.96153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E1D76E8D-624B-FDCC-421F-0A68B149646F}"/>
            </a:ext>
          </a:extLst>
        </cdr:cNvPr>
        <cdr:cNvSpPr txBox="1"/>
      </cdr:nvSpPr>
      <cdr:spPr>
        <a:xfrm xmlns:a="http://schemas.openxmlformats.org/drawingml/2006/main">
          <a:off x="2784475" y="2803525"/>
          <a:ext cx="881063" cy="2714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 b="1"/>
            <a:t>Stations</a:t>
          </a:r>
          <a:endParaRPr lang="el-GR" sz="1400" b="1"/>
        </a:p>
      </cdr:txBody>
    </cdr:sp>
  </cdr:relSizeAnchor>
  <cdr:relSizeAnchor xmlns:cdr="http://schemas.openxmlformats.org/drawingml/2006/chartDrawing">
    <cdr:from>
      <cdr:x>0.00915</cdr:x>
      <cdr:y>0.27254</cdr:y>
    </cdr:from>
    <cdr:to>
      <cdr:x>0.06261</cdr:x>
      <cdr:y>0.68221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CE3BD09B-B724-8D7D-5C97-E36755945B8C}"/>
            </a:ext>
          </a:extLst>
        </cdr:cNvPr>
        <cdr:cNvSpPr txBox="1"/>
      </cdr:nvSpPr>
      <cdr:spPr>
        <a:xfrm xmlns:a="http://schemas.openxmlformats.org/drawingml/2006/main" rot="16200000">
          <a:off x="-345463" y="1192354"/>
          <a:ext cx="1179413" cy="3639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 b="1"/>
            <a:t>Improvement</a:t>
          </a:r>
          <a:endParaRPr lang="el-GR" sz="1400" b="1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0.9216</cdr:x>
      <cdr:y>0.37475</cdr:y>
    </cdr:from>
    <cdr:to>
      <cdr:x>0.98825</cdr:x>
      <cdr:y>0.55501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B84594E-9B6E-FF93-38B5-6683C77E664C}"/>
            </a:ext>
          </a:extLst>
        </cdr:cNvPr>
        <cdr:cNvSpPr txBox="1"/>
      </cdr:nvSpPr>
      <cdr:spPr>
        <a:xfrm xmlns:a="http://schemas.openxmlformats.org/drawingml/2006/main" rot="16200000">
          <a:off x="3901142" y="1029633"/>
          <a:ext cx="455129" cy="2881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050" b="0"/>
            <a:t>Diff</a:t>
          </a:r>
          <a:endParaRPr lang="el-GR" sz="1050" b="0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0.9216</cdr:x>
      <cdr:y>0.34208</cdr:y>
    </cdr:from>
    <cdr:to>
      <cdr:x>0.98825</cdr:x>
      <cdr:y>0.52303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B84594E-9B6E-FF93-38B5-6683C77E664C}"/>
            </a:ext>
          </a:extLst>
        </cdr:cNvPr>
        <cdr:cNvSpPr txBox="1"/>
      </cdr:nvSpPr>
      <cdr:spPr>
        <a:xfrm xmlns:a="http://schemas.openxmlformats.org/drawingml/2006/main" rot="16200000">
          <a:off x="3901142" y="943908"/>
          <a:ext cx="455129" cy="2881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050" b="0"/>
            <a:t>Diff</a:t>
          </a:r>
          <a:endParaRPr lang="el-GR" sz="1050" b="0"/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0.9238</cdr:x>
      <cdr:y>0.32694</cdr:y>
    </cdr:from>
    <cdr:to>
      <cdr:x>0.99045</cdr:x>
      <cdr:y>0.50789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B84594E-9B6E-FF93-38B5-6683C77E664C}"/>
            </a:ext>
          </a:extLst>
        </cdr:cNvPr>
        <cdr:cNvSpPr txBox="1"/>
      </cdr:nvSpPr>
      <cdr:spPr>
        <a:xfrm xmlns:a="http://schemas.openxmlformats.org/drawingml/2006/main" rot="16200000">
          <a:off x="3910667" y="905808"/>
          <a:ext cx="455129" cy="2881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050" b="0"/>
            <a:t>Diff</a:t>
          </a:r>
          <a:endParaRPr lang="el-GR" sz="1050" b="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egory Gasteratos" refreshedDate="45844.572826967589" createdVersion="8" refreshedVersion="8" minRefreshableVersion="3" recordCount="65" xr:uid="{70A8EFE6-8D04-45E3-9822-493291EBCD09}">
  <cacheSource type="worksheet">
    <worksheetSource name="Merged_1"/>
  </cacheSource>
  <cacheFields count="14">
    <cacheField name="Stations" numFmtId="0">
      <sharedItems containsSemiMixedTypes="0" containsString="0" containsNumber="1" containsInteger="1" minValue="5" maxValue="100" count="8">
        <n v="5"/>
        <n v="10"/>
        <n v="15"/>
        <n v="20"/>
        <n v="25"/>
        <n v="45"/>
        <n v="60"/>
        <n v="100"/>
      </sharedItems>
    </cacheField>
    <cacheField name="Drones" numFmtId="0">
      <sharedItems containsSemiMixedTypes="0" containsString="0" containsNumber="1" containsInteger="1" minValue="1" maxValue="10" count="10">
        <n v="2"/>
        <n v="3"/>
        <n v="4"/>
        <n v="5"/>
        <n v="6"/>
        <n v="7"/>
        <n v="8"/>
        <n v="9"/>
        <n v="10"/>
        <n v="1" u="1"/>
      </sharedItems>
    </cacheField>
    <cacheField name="Optimised.Distance" numFmtId="0">
      <sharedItems containsSemiMixedTypes="0" containsString="0" containsNumber="1" minValue="3041.71" maxValue="16650.29"/>
    </cacheField>
    <cacheField name="Center.Distance" numFmtId="0">
      <sharedItems containsSemiMixedTypes="0" containsString="0" containsNumber="1" minValue="2335.73" maxValue="15278.39"/>
    </cacheField>
    <cacheField name="Distance Imrovement" numFmtId="0">
      <sharedItems containsSemiMixedTypes="0" containsString="0" containsNumber="1" minValue="0.01" maxValue="0.27"/>
    </cacheField>
    <cacheField name="Diff Distance" numFmtId="0">
      <sharedItems containsSemiMixedTypes="0" containsString="0" containsNumber="1" minValue="51.72" maxValue="3110.37"/>
    </cacheField>
    <cacheField name="Optimised.SPD.Avg" numFmtId="0">
      <sharedItems containsSemiMixedTypes="0" containsString="0" containsNumber="1" minValue="425.53" maxValue="10963.33"/>
    </cacheField>
    <cacheField name="Center.SPD.Avg" numFmtId="0">
      <sharedItems containsSemiMixedTypes="0" containsString="0" containsNumber="1" minValue="373.81" maxValue="7852.96"/>
    </cacheField>
    <cacheField name="SPD Impovement" numFmtId="0">
      <sharedItems containsSemiMixedTypes="0" containsString="0" containsNumber="1" minValue="0.08" maxValue="0.35"/>
    </cacheField>
    <cacheField name="Diff SPD" numFmtId="0">
      <sharedItems containsSemiMixedTypes="0" containsString="0" containsNumber="1" minValue="51.72" maxValue="3110.37"/>
    </cacheField>
    <cacheField name="Optimised.SPF.Avg" numFmtId="0">
      <sharedItems containsSemiMixedTypes="0" containsString="0" containsNumber="1" minValue="4.8500000000000001E-2" maxValue="0.874"/>
    </cacheField>
    <cacheField name="Center.SPF.Avg" numFmtId="0">
      <sharedItems containsSemiMixedTypes="0" containsString="0" containsNumber="1" minValue="4.2900000000000001E-2" maxValue="0.83989999999999998"/>
    </cacheField>
    <cacheField name="SPF Imrovement" numFmtId="0">
      <sharedItems containsSemiMixedTypes="0" containsString="0" containsNumber="1" minValue="3.8199999999999998E-2" maxValue="0.1694"/>
    </cacheField>
    <cacheField name="Diff SPF" numFmtId="0">
      <sharedItems containsSemiMixedTypes="0" containsString="0" containsNumber="1" minValue="5.5999999999999999E-3" maxValue="9.5000000000000001E-2"/>
    </cacheField>
  </cacheFields>
  <extLst>
    <ext xmlns:x14="http://schemas.microsoft.com/office/spreadsheetml/2009/9/main" uri="{725AE2AE-9491-48be-B2B4-4EB974FC3084}">
      <x14:pivotCacheDefinition pivotCacheId="177497819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x v="0"/>
    <x v="0"/>
    <n v="3041.71"/>
    <n v="2335.73"/>
    <n v="0.23"/>
    <n v="705.98"/>
    <n v="2013.77"/>
    <n v="1307.79"/>
    <n v="0.35"/>
    <n v="705.98"/>
    <n v="0.65329999999999999"/>
    <n v="0.55840000000000001"/>
    <n v="0.1454"/>
    <n v="9.5000000000000001E-2"/>
  </r>
  <r>
    <x v="0"/>
    <x v="1"/>
    <n v="3666.65"/>
    <n v="2693.9"/>
    <n v="0.27"/>
    <n v="972.75"/>
    <n v="3075.19"/>
    <n v="2102.44"/>
    <n v="0.32"/>
    <n v="972.75"/>
    <n v="0.83209999999999995"/>
    <n v="0.78069999999999995"/>
    <n v="6.1800000000000001E-2"/>
    <n v="5.1400000000000001E-2"/>
  </r>
  <r>
    <x v="0"/>
    <x v="2"/>
    <n v="3636.59"/>
    <n v="2695.04"/>
    <n v="0.26"/>
    <n v="941.54"/>
    <n v="3048"/>
    <n v="2106.4499999999998"/>
    <n v="0.31"/>
    <n v="941.54"/>
    <n v="0.83120000000000005"/>
    <n v="0.78200000000000003"/>
    <n v="5.9200000000000003E-2"/>
    <n v="4.9200000000000001E-2"/>
  </r>
  <r>
    <x v="1"/>
    <x v="0"/>
    <n v="3864.91"/>
    <n v="3380.47"/>
    <n v="0.13"/>
    <n v="484.43"/>
    <n v="1711.03"/>
    <n v="1226.5899999999999"/>
    <n v="0.28000000000000003"/>
    <n v="484.43"/>
    <n v="0.43619999999999998"/>
    <n v="0.36230000000000001"/>
    <n v="0.1694"/>
    <n v="7.3899999999999993E-2"/>
  </r>
  <r>
    <x v="1"/>
    <x v="1"/>
    <n v="4502.7299999999996"/>
    <n v="3824.26"/>
    <n v="0.15"/>
    <n v="678.47"/>
    <n v="2701.92"/>
    <n v="2023.45"/>
    <n v="0.25"/>
    <n v="678.47"/>
    <n v="0.59240000000000004"/>
    <n v="0.52700000000000002"/>
    <n v="0.1103"/>
    <n v="6.5299999999999997E-2"/>
  </r>
  <r>
    <x v="1"/>
    <x v="2"/>
    <n v="5233.2299999999996"/>
    <n v="4357.51"/>
    <n v="0.17"/>
    <n v="875.73"/>
    <n v="3748.05"/>
    <n v="2872.32"/>
    <n v="0.23"/>
    <n v="875.73"/>
    <n v="0.70830000000000004"/>
    <n v="0.6573"/>
    <n v="7.2099999999999997E-2"/>
    <n v="5.0999999999999997E-2"/>
  </r>
  <r>
    <x v="1"/>
    <x v="3"/>
    <n v="6660.05"/>
    <n v="4897.68"/>
    <n v="0.26"/>
    <n v="1762.37"/>
    <n v="5537.78"/>
    <n v="3775.41"/>
    <n v="0.32"/>
    <n v="1762.37"/>
    <n v="0.82569999999999999"/>
    <n v="0.76959999999999995"/>
    <n v="6.8000000000000005E-2"/>
    <n v="5.6099999999999997E-2"/>
  </r>
  <r>
    <x v="1"/>
    <x v="4"/>
    <n v="6652.8"/>
    <n v="4904.17"/>
    <n v="0.26"/>
    <n v="1748.63"/>
    <n v="5536.48"/>
    <n v="3787.85"/>
    <n v="0.32"/>
    <n v="1748.63"/>
    <n v="0.82620000000000005"/>
    <n v="0.77139999999999997"/>
    <n v="6.6400000000000001E-2"/>
    <n v="5.4899999999999997E-2"/>
  </r>
  <r>
    <x v="1"/>
    <x v="5"/>
    <n v="6615.85"/>
    <n v="4898.96"/>
    <n v="0.26"/>
    <n v="1716.89"/>
    <n v="5497.43"/>
    <n v="3780.54"/>
    <n v="0.31"/>
    <n v="1716.89"/>
    <n v="0.82469999999999999"/>
    <n v="0.77029999999999998"/>
    <n v="6.6000000000000003E-2"/>
    <n v="5.45E-2"/>
  </r>
  <r>
    <x v="1"/>
    <x v="6"/>
    <n v="6657.79"/>
    <n v="4878.25"/>
    <n v="0.27"/>
    <n v="1779.54"/>
    <n v="5541.22"/>
    <n v="3761.67"/>
    <n v="0.32"/>
    <n v="1779.54"/>
    <n v="0.82640000000000002"/>
    <n v="0.76990000000000003"/>
    <n v="6.8400000000000002E-2"/>
    <n v="5.6500000000000002E-2"/>
  </r>
  <r>
    <x v="1"/>
    <x v="7"/>
    <n v="6663.26"/>
    <n v="4857.3500000000004"/>
    <n v="0.27"/>
    <n v="1805.91"/>
    <n v="5560.53"/>
    <n v="3754.62"/>
    <n v="0.32"/>
    <n v="1805.91"/>
    <n v="0.82840000000000003"/>
    <n v="0.77139999999999997"/>
    <n v="6.88E-2"/>
    <n v="5.7000000000000002E-2"/>
  </r>
  <r>
    <x v="2"/>
    <x v="0"/>
    <n v="4291.32"/>
    <n v="3960.42"/>
    <n v="0.08"/>
    <n v="330.9"/>
    <n v="1399.64"/>
    <n v="1068.75"/>
    <n v="0.24"/>
    <n v="330.9"/>
    <n v="0.32229999999999998"/>
    <n v="0.26900000000000002"/>
    <n v="0.16539999999999999"/>
    <n v="5.33E-2"/>
  </r>
  <r>
    <x v="2"/>
    <x v="1"/>
    <n v="5328.6"/>
    <n v="4639.28"/>
    <n v="0.13"/>
    <n v="689.32"/>
    <n v="2648.37"/>
    <n v="1959.05"/>
    <n v="0.26"/>
    <n v="689.32"/>
    <n v="0.4909"/>
    <n v="0.42199999999999999"/>
    <n v="0.14019999999999999"/>
    <n v="6.88E-2"/>
  </r>
  <r>
    <x v="2"/>
    <x v="2"/>
    <n v="6093.07"/>
    <n v="5128.2700000000004"/>
    <n v="0.16"/>
    <n v="964.8"/>
    <n v="3742.77"/>
    <n v="2777.97"/>
    <n v="0.26"/>
    <n v="964.8"/>
    <n v="0.60719999999999996"/>
    <n v="0.5413"/>
    <n v="0.1086"/>
    <n v="6.59E-2"/>
  </r>
  <r>
    <x v="2"/>
    <x v="3"/>
    <n v="7273.35"/>
    <n v="5748.65"/>
    <n v="0.21"/>
    <n v="1524.7"/>
    <n v="5256.38"/>
    <n v="3731.68"/>
    <n v="0.28999999999999998"/>
    <n v="1524.7"/>
    <n v="0.71519999999999995"/>
    <n v="0.64859999999999995"/>
    <n v="9.3200000000000005E-2"/>
    <n v="6.6699999999999995E-2"/>
  </r>
  <r>
    <x v="2"/>
    <x v="4"/>
    <n v="7226.24"/>
    <n v="5735.58"/>
    <n v="0.21"/>
    <n v="1490.66"/>
    <n v="5189.91"/>
    <n v="3699.25"/>
    <n v="0.28999999999999998"/>
    <n v="1490.66"/>
    <n v="0.7107"/>
    <n v="0.64419999999999999"/>
    <n v="9.3700000000000006E-2"/>
    <n v="6.6600000000000006E-2"/>
  </r>
  <r>
    <x v="2"/>
    <x v="5"/>
    <n v="7258.63"/>
    <n v="5765.35"/>
    <n v="0.21"/>
    <n v="1493.28"/>
    <n v="5216.8"/>
    <n v="3723.52"/>
    <n v="0.28999999999999998"/>
    <n v="1493.28"/>
    <n v="0.71150000000000002"/>
    <n v="0.64539999999999997"/>
    <n v="9.2999999999999999E-2"/>
    <n v="6.6100000000000006E-2"/>
  </r>
  <r>
    <x v="2"/>
    <x v="6"/>
    <n v="9752.3700000000008"/>
    <n v="7454.71"/>
    <n v="0.24"/>
    <n v="2297.65"/>
    <n v="8553.89"/>
    <n v="6256.24"/>
    <n v="0.27"/>
    <n v="2297.65"/>
    <n v="0.87190000000000001"/>
    <n v="0.83819999999999995"/>
    <n v="3.8600000000000002E-2"/>
    <n v="3.3599999999999998E-2"/>
  </r>
  <r>
    <x v="2"/>
    <x v="7"/>
    <n v="9743.2999999999993"/>
    <n v="7446.06"/>
    <n v="0.24"/>
    <n v="2297.2399999999998"/>
    <n v="8539.35"/>
    <n v="6242.12"/>
    <n v="0.27"/>
    <n v="2297.2399999999998"/>
    <n v="0.87190000000000001"/>
    <n v="0.83750000000000002"/>
    <n v="3.9399999999999998E-2"/>
    <n v="3.44E-2"/>
  </r>
  <r>
    <x v="2"/>
    <x v="8"/>
    <n v="9629.2099999999991"/>
    <n v="7396.38"/>
    <n v="0.23"/>
    <n v="2232.84"/>
    <n v="8451.8700000000008"/>
    <n v="6219.03"/>
    <n v="0.26"/>
    <n v="2232.84"/>
    <n v="0.87319999999999998"/>
    <n v="0.83989999999999998"/>
    <n v="3.8199999999999998E-2"/>
    <n v="3.3399999999999999E-2"/>
  </r>
  <r>
    <x v="3"/>
    <x v="0"/>
    <n v="4825.7"/>
    <n v="4590.45"/>
    <n v="0.05"/>
    <n v="235.25"/>
    <n v="1201.17"/>
    <n v="965.92"/>
    <n v="0.2"/>
    <n v="235.25"/>
    <n v="0.24809999999999999"/>
    <n v="0.2104"/>
    <n v="0.15179999999999999"/>
    <n v="3.7699999999999997E-2"/>
  </r>
  <r>
    <x v="3"/>
    <x v="1"/>
    <n v="5644.61"/>
    <n v="5129.42"/>
    <n v="0.09"/>
    <n v="515.19000000000005"/>
    <n v="2300.04"/>
    <n v="1784.86"/>
    <n v="0.22"/>
    <n v="515.19000000000005"/>
    <n v="0.40289999999999998"/>
    <n v="0.34810000000000002"/>
    <n v="0.13600000000000001"/>
    <n v="5.4800000000000001E-2"/>
  </r>
  <r>
    <x v="3"/>
    <x v="2"/>
    <n v="6619.53"/>
    <n v="5738.27"/>
    <n v="0.13"/>
    <n v="881.26"/>
    <n v="3528.68"/>
    <n v="2647.42"/>
    <n v="0.25"/>
    <n v="881.26"/>
    <n v="0.52610000000000001"/>
    <n v="0.46110000000000001"/>
    <n v="0.1235"/>
    <n v="6.5000000000000002E-2"/>
  </r>
  <r>
    <x v="3"/>
    <x v="3"/>
    <n v="7690.69"/>
    <n v="6392.53"/>
    <n v="0.17"/>
    <n v="1298.1600000000001"/>
    <n v="4879.18"/>
    <n v="3581.01"/>
    <n v="0.27"/>
    <n v="1298.1600000000001"/>
    <n v="0.62709999999999999"/>
    <n v="0.5595"/>
    <n v="0.10780000000000001"/>
    <n v="6.7599999999999993E-2"/>
  </r>
  <r>
    <x v="3"/>
    <x v="4"/>
    <n v="7672.43"/>
    <n v="6393.09"/>
    <n v="0.17"/>
    <n v="1279.3399999999999"/>
    <n v="4860.99"/>
    <n v="3581.66"/>
    <n v="0.26"/>
    <n v="1279.3399999999999"/>
    <n v="0.62690000000000001"/>
    <n v="0.55989999999999995"/>
    <n v="0.10680000000000001"/>
    <n v="6.6900000000000001E-2"/>
  </r>
  <r>
    <x v="3"/>
    <x v="5"/>
    <n v="9297.86"/>
    <n v="7508.29"/>
    <n v="0.19"/>
    <n v="1789.58"/>
    <n v="7065.7"/>
    <n v="5276.13"/>
    <n v="0.25"/>
    <n v="1789.58"/>
    <n v="0.75360000000000005"/>
    <n v="0.70199999999999996"/>
    <n v="6.8400000000000002E-2"/>
    <n v="5.1499999999999997E-2"/>
  </r>
  <r>
    <x v="3"/>
    <x v="6"/>
    <n v="9498.25"/>
    <n v="7532.05"/>
    <n v="0.21"/>
    <n v="1966.19"/>
    <n v="7268.34"/>
    <n v="5302.14"/>
    <n v="0.27"/>
    <n v="1966.19"/>
    <n v="0.7591"/>
    <n v="0.70320000000000005"/>
    <n v="7.3599999999999999E-2"/>
    <n v="5.5899999999999998E-2"/>
  </r>
  <r>
    <x v="3"/>
    <x v="7"/>
    <n v="9498.26"/>
    <n v="7570.27"/>
    <n v="0.2"/>
    <n v="1928"/>
    <n v="7277.17"/>
    <n v="5349.17"/>
    <n v="0.26"/>
    <n v="1928"/>
    <n v="0.75990000000000002"/>
    <n v="0.70579999999999998"/>
    <n v="7.1199999999999999E-2"/>
    <n v="5.4100000000000002E-2"/>
  </r>
  <r>
    <x v="3"/>
    <x v="8"/>
    <n v="12482.16"/>
    <n v="9371.7900000000009"/>
    <n v="0.25"/>
    <n v="3110.37"/>
    <n v="10963.33"/>
    <n v="7852.96"/>
    <n v="0.28000000000000003"/>
    <n v="3110.37"/>
    <n v="0.874"/>
    <n v="0.83709999999999996"/>
    <n v="4.2299999999999997E-2"/>
    <n v="3.6999999999999998E-2"/>
  </r>
  <r>
    <x v="4"/>
    <x v="0"/>
    <n v="5317.08"/>
    <n v="5162.04"/>
    <n v="0.03"/>
    <n v="155.04"/>
    <n v="1039.06"/>
    <n v="884.02"/>
    <n v="0.15"/>
    <n v="155.04"/>
    <n v="0.1956"/>
    <n v="0.17150000000000001"/>
    <n v="0.123"/>
    <n v="2.41E-2"/>
  </r>
  <r>
    <x v="4"/>
    <x v="1"/>
    <n v="6002.26"/>
    <n v="5559.57"/>
    <n v="7.0000000000000007E-2"/>
    <n v="442.69"/>
    <n v="2075.6999999999998"/>
    <n v="1633.01"/>
    <n v="0.21"/>
    <n v="442.69"/>
    <n v="0.34179999999999999"/>
    <n v="0.29339999999999999"/>
    <n v="0.1416"/>
    <n v="4.8399999999999999E-2"/>
  </r>
  <r>
    <x v="4"/>
    <x v="2"/>
    <n v="6762.3"/>
    <n v="6121.47"/>
    <n v="0.09"/>
    <n v="640.83000000000004"/>
    <n v="3066.94"/>
    <n v="2426.11"/>
    <n v="0.21"/>
    <n v="640.83000000000004"/>
    <n v="0.44879999999999998"/>
    <n v="0.39589999999999997"/>
    <n v="0.1177"/>
    <n v="5.28E-2"/>
  </r>
  <r>
    <x v="4"/>
    <x v="3"/>
    <n v="8080.98"/>
    <n v="6932.22"/>
    <n v="0.14000000000000001"/>
    <n v="1148.76"/>
    <n v="4589.62"/>
    <n v="3440.86"/>
    <n v="0.25"/>
    <n v="1148.76"/>
    <n v="0.56120000000000003"/>
    <n v="0.49609999999999999"/>
    <n v="0.11600000000000001"/>
    <n v="6.5100000000000005E-2"/>
  </r>
  <r>
    <x v="4"/>
    <x v="4"/>
    <n v="8016.71"/>
    <n v="6897.62"/>
    <n v="0.14000000000000001"/>
    <n v="1119.0899999999999"/>
    <n v="4539.53"/>
    <n v="3420.44"/>
    <n v="0.25"/>
    <n v="1119.0899999999999"/>
    <n v="0.55879999999999996"/>
    <n v="0.4955"/>
    <n v="0.1134"/>
    <n v="6.3399999999999998E-2"/>
  </r>
  <r>
    <x v="4"/>
    <x v="5"/>
    <n v="9421.5499999999993"/>
    <n v="8052.57"/>
    <n v="0.15"/>
    <n v="1368.98"/>
    <n v="6438.84"/>
    <n v="5069.8599999999997"/>
    <n v="0.21"/>
    <n v="1368.98"/>
    <n v="0.6764"/>
    <n v="0.62839999999999996"/>
    <n v="7.0900000000000005E-2"/>
    <n v="4.8000000000000001E-2"/>
  </r>
  <r>
    <x v="4"/>
    <x v="6"/>
    <n v="9375.15"/>
    <n v="8047.49"/>
    <n v="0.14000000000000001"/>
    <n v="1327.66"/>
    <n v="6381.54"/>
    <n v="5053.88"/>
    <n v="0.21"/>
    <n v="1327.66"/>
    <n v="0.67379999999999995"/>
    <n v="0.627"/>
    <n v="6.9400000000000003E-2"/>
    <n v="4.6800000000000001E-2"/>
  </r>
  <r>
    <x v="4"/>
    <x v="7"/>
    <n v="11381.86"/>
    <n v="9339.56"/>
    <n v="0.18"/>
    <n v="2042.3"/>
    <n v="8916.0400000000009"/>
    <n v="6873.74"/>
    <n v="0.23"/>
    <n v="2042.3"/>
    <n v="0.77790000000000004"/>
    <n v="0.73529999999999995"/>
    <n v="5.4699999999999999E-2"/>
    <n v="4.2500000000000003E-2"/>
  </r>
  <r>
    <x v="4"/>
    <x v="8"/>
    <n v="11470.34"/>
    <n v="9346.8700000000008"/>
    <n v="0.19"/>
    <n v="2123.4699999999998"/>
    <n v="9009.99"/>
    <n v="6886.52"/>
    <n v="0.24"/>
    <n v="2123.4699999999998"/>
    <n v="0.77959999999999996"/>
    <n v="0.73599999999999999"/>
    <n v="5.5899999999999998E-2"/>
    <n v="4.36E-2"/>
  </r>
  <r>
    <x v="5"/>
    <x v="0"/>
    <n v="6578.52"/>
    <n v="6500.57"/>
    <n v="0.01"/>
    <n v="77.95"/>
    <n v="682.46"/>
    <n v="604.51"/>
    <n v="0.11"/>
    <n v="77.95"/>
    <n v="0.1037"/>
    <n v="9.2999999999999999E-2"/>
    <n v="0.1026"/>
    <n v="1.06E-2"/>
  </r>
  <r>
    <x v="5"/>
    <x v="1"/>
    <n v="7717.21"/>
    <n v="7541.83"/>
    <n v="0.02"/>
    <n v="175.38"/>
    <n v="1438.43"/>
    <n v="1263.05"/>
    <n v="0.12"/>
    <n v="175.38"/>
    <n v="0.1865"/>
    <n v="0.16789999999999999"/>
    <n v="9.9599999999999994E-2"/>
    <n v="1.8599999999999998E-2"/>
  </r>
  <r>
    <x v="5"/>
    <x v="2"/>
    <n v="8295.06"/>
    <n v="7885.09"/>
    <n v="0.05"/>
    <n v="409.97"/>
    <n v="2387.81"/>
    <n v="1977.84"/>
    <n v="0.17"/>
    <n v="409.97"/>
    <n v="0.28599999999999998"/>
    <n v="0.251"/>
    <n v="0.12239999999999999"/>
    <n v="3.5000000000000003E-2"/>
  </r>
  <r>
    <x v="5"/>
    <x v="3"/>
    <n v="9236.56"/>
    <n v="8536.7999999999993"/>
    <n v="0.08"/>
    <n v="699.76"/>
    <n v="3550.53"/>
    <n v="2850.77"/>
    <n v="0.2"/>
    <n v="699.76"/>
    <n v="0.38059999999999999"/>
    <n v="0.33389999999999997"/>
    <n v="0.12280000000000001"/>
    <n v="4.6699999999999998E-2"/>
  </r>
  <r>
    <x v="5"/>
    <x v="4"/>
    <n v="10094.16"/>
    <n v="9144.39"/>
    <n v="0.09"/>
    <n v="949.76"/>
    <n v="4639.3999999999996"/>
    <n v="3689.64"/>
    <n v="0.2"/>
    <n v="949.76"/>
    <n v="0.45469999999999999"/>
    <n v="0.40329999999999999"/>
    <n v="0.113"/>
    <n v="5.1400000000000001E-2"/>
  </r>
  <r>
    <x v="5"/>
    <x v="5"/>
    <n v="10818.71"/>
    <n v="9721.65"/>
    <n v="0.1"/>
    <n v="1097.06"/>
    <n v="5573.09"/>
    <n v="4476.03"/>
    <n v="0.2"/>
    <n v="1097.06"/>
    <n v="0.50929999999999997"/>
    <n v="0.4597"/>
    <n v="9.74E-2"/>
    <n v="4.9599999999999998E-2"/>
  </r>
  <r>
    <x v="5"/>
    <x v="6"/>
    <n v="11877.78"/>
    <n v="10388.35"/>
    <n v="0.13"/>
    <n v="1489.43"/>
    <n v="6902.54"/>
    <n v="5413.11"/>
    <n v="0.22"/>
    <n v="1489.43"/>
    <n v="0.57489999999999997"/>
    <n v="0.52049999999999996"/>
    <n v="9.4600000000000004E-2"/>
    <n v="5.4399999999999997E-2"/>
  </r>
  <r>
    <x v="5"/>
    <x v="7"/>
    <n v="13305.72"/>
    <n v="11227.05"/>
    <n v="0.16"/>
    <n v="2078.67"/>
    <n v="8527.85"/>
    <n v="6449.18"/>
    <n v="0.24"/>
    <n v="2078.67"/>
    <n v="0.63439999999999996"/>
    <n v="0.57410000000000005"/>
    <n v="9.5000000000000001E-2"/>
    <n v="6.0299999999999999E-2"/>
  </r>
  <r>
    <x v="5"/>
    <x v="8"/>
    <n v="13392.94"/>
    <n v="11268.98"/>
    <n v="0.16"/>
    <n v="2123.96"/>
    <n v="8611.83"/>
    <n v="6487.87"/>
    <n v="0.25"/>
    <n v="2123.96"/>
    <n v="0.63649999999999995"/>
    <n v="0.57540000000000002"/>
    <n v="9.6000000000000002E-2"/>
    <n v="6.1100000000000002E-2"/>
  </r>
  <r>
    <x v="6"/>
    <x v="0"/>
    <n v="7243.88"/>
    <n v="7173.54"/>
    <n v="0.01"/>
    <n v="70.349999999999994"/>
    <n v="572.14"/>
    <n v="501.8"/>
    <n v="0.12"/>
    <n v="70.349999999999994"/>
    <n v="7.8899999999999998E-2"/>
    <n v="7.0000000000000007E-2"/>
    <n v="0.1133"/>
    <n v="8.8999999999999999E-3"/>
  </r>
  <r>
    <x v="6"/>
    <x v="1"/>
    <n v="8667.7800000000007"/>
    <n v="8551.2099999999991"/>
    <n v="0.01"/>
    <n v="116.58"/>
    <n v="1158.8399999999999"/>
    <n v="1042.27"/>
    <n v="0.1"/>
    <n v="116.58"/>
    <n v="0.1338"/>
    <n v="0.1222"/>
    <n v="8.6699999999999999E-2"/>
    <n v="1.1599999999999999E-2"/>
  </r>
  <r>
    <x v="6"/>
    <x v="2"/>
    <n v="9523.35"/>
    <n v="9272.58"/>
    <n v="0.03"/>
    <n v="250.76"/>
    <n v="1985.17"/>
    <n v="1734.41"/>
    <n v="0.13"/>
    <n v="250.76"/>
    <n v="0.20849999999999999"/>
    <n v="0.18770000000000001"/>
    <n v="9.9699999999999997E-2"/>
    <n v="2.0799999999999999E-2"/>
  </r>
  <r>
    <x v="6"/>
    <x v="3"/>
    <n v="10186.76"/>
    <n v="9675.7199999999993"/>
    <n v="0.05"/>
    <n v="511.04"/>
    <n v="3027.52"/>
    <n v="2516.48"/>
    <n v="0.17"/>
    <n v="511.04"/>
    <n v="0.29570000000000002"/>
    <n v="0.26050000000000001"/>
    <n v="0.1188"/>
    <n v="3.5099999999999999E-2"/>
  </r>
  <r>
    <x v="6"/>
    <x v="4"/>
    <n v="11023.57"/>
    <n v="10249.86"/>
    <n v="7.0000000000000007E-2"/>
    <n v="773.72"/>
    <n v="4087.37"/>
    <n v="3313.65"/>
    <n v="0.19"/>
    <n v="773.72"/>
    <n v="0.36780000000000002"/>
    <n v="0.32379999999999998"/>
    <n v="0.1196"/>
    <n v="4.3999999999999997E-2"/>
  </r>
  <r>
    <x v="6"/>
    <x v="5"/>
    <n v="11769.62"/>
    <n v="10736.7"/>
    <n v="0.09"/>
    <n v="1032.92"/>
    <n v="5168.8500000000004"/>
    <n v="4135.93"/>
    <n v="0.2"/>
    <n v="1032.92"/>
    <n v="0.4345"/>
    <n v="0.38490000000000002"/>
    <n v="0.11409999999999999"/>
    <n v="4.9599999999999998E-2"/>
  </r>
  <r>
    <x v="6"/>
    <x v="6"/>
    <n v="12680.56"/>
    <n v="11418.18"/>
    <n v="0.1"/>
    <n v="1262.3800000000001"/>
    <n v="6229.14"/>
    <n v="4966.76"/>
    <n v="0.2"/>
    <n v="1262.3800000000001"/>
    <n v="0.48620000000000002"/>
    <n v="0.43459999999999999"/>
    <n v="0.1062"/>
    <n v="5.16E-2"/>
  </r>
  <r>
    <x v="6"/>
    <x v="7"/>
    <n v="13735.15"/>
    <n v="12143.59"/>
    <n v="0.12"/>
    <n v="1591.55"/>
    <n v="7541.75"/>
    <n v="5950.2"/>
    <n v="0.21"/>
    <n v="1591.55"/>
    <n v="0.54269999999999996"/>
    <n v="0.48930000000000001"/>
    <n v="9.8400000000000001E-2"/>
    <n v="5.3400000000000003E-2"/>
  </r>
  <r>
    <x v="6"/>
    <x v="8"/>
    <n v="15209.29"/>
    <n v="13010.58"/>
    <n v="0.14000000000000001"/>
    <n v="2198.71"/>
    <n v="9186.91"/>
    <n v="6988.2"/>
    <n v="0.24"/>
    <n v="2198.71"/>
    <n v="0.59750000000000003"/>
    <n v="0.53690000000000004"/>
    <n v="0.1014"/>
    <n v="6.0600000000000001E-2"/>
  </r>
  <r>
    <x v="7"/>
    <x v="0"/>
    <n v="8764.2199999999993"/>
    <n v="8712.51"/>
    <n v="0.01"/>
    <n v="51.72"/>
    <n v="425.53"/>
    <n v="373.81"/>
    <n v="0.12"/>
    <n v="51.72"/>
    <n v="4.8500000000000001E-2"/>
    <n v="4.2900000000000001E-2"/>
    <n v="0.1157"/>
    <n v="5.5999999999999999E-3"/>
  </r>
  <r>
    <x v="7"/>
    <x v="1"/>
    <n v="10257.39"/>
    <n v="10181.86"/>
    <n v="0.01"/>
    <n v="75.52"/>
    <n v="818.46"/>
    <n v="742.94"/>
    <n v="0.09"/>
    <n v="75.52"/>
    <n v="7.9799999999999996E-2"/>
    <n v="7.2999999999999995E-2"/>
    <n v="8.4699999999999998E-2"/>
    <n v="6.7999999999999996E-3"/>
  </r>
  <r>
    <x v="7"/>
    <x v="2"/>
    <n v="11749.71"/>
    <n v="11637.32"/>
    <n v="0.01"/>
    <n v="112.4"/>
    <n v="1358.81"/>
    <n v="1246.4100000000001"/>
    <n v="0.08"/>
    <n v="112.4"/>
    <n v="0.1157"/>
    <n v="0.1074"/>
    <n v="7.2300000000000003E-2"/>
    <n v="8.3999999999999995E-3"/>
  </r>
  <r>
    <x v="7"/>
    <x v="3"/>
    <n v="12934.82"/>
    <n v="12734.53"/>
    <n v="0.02"/>
    <n v="200.29"/>
    <n v="2028.43"/>
    <n v="1828.13"/>
    <n v="0.1"/>
    <n v="200.29"/>
    <n v="0.15720000000000001"/>
    <n v="0.14430000000000001"/>
    <n v="8.2500000000000004E-2"/>
    <n v="1.2999999999999999E-2"/>
  </r>
  <r>
    <x v="7"/>
    <x v="4"/>
    <n v="13606.84"/>
    <n v="13259.77"/>
    <n v="0.03"/>
    <n v="347.07"/>
    <n v="2920.14"/>
    <n v="2573.0700000000002"/>
    <n v="0.12"/>
    <n v="347.07"/>
    <n v="0.21479999999999999"/>
    <n v="0.19500000000000001"/>
    <n v="9.2200000000000004E-2"/>
    <n v="1.9800000000000002E-2"/>
  </r>
  <r>
    <x v="7"/>
    <x v="5"/>
    <n v="14133.45"/>
    <n v="13564.72"/>
    <n v="0.04"/>
    <n v="568.73"/>
    <n v="3899.57"/>
    <n v="3330.85"/>
    <n v="0.15"/>
    <n v="568.72"/>
    <n v="0.27500000000000002"/>
    <n v="0.24629999999999999"/>
    <n v="0.1045"/>
    <n v="2.87E-2"/>
  </r>
  <r>
    <x v="7"/>
    <x v="6"/>
    <n v="14832.11"/>
    <n v="14005.55"/>
    <n v="0.06"/>
    <n v="826.56"/>
    <n v="4949.1099999999997"/>
    <n v="4122.55"/>
    <n v="0.17"/>
    <n v="826.56"/>
    <n v="0.33169999999999999"/>
    <n v="0.2949"/>
    <n v="0.1108"/>
    <n v="3.6799999999999999E-2"/>
  </r>
  <r>
    <x v="7"/>
    <x v="7"/>
    <n v="15301.94"/>
    <n v="14414.65"/>
    <n v="0.06"/>
    <n v="887.29"/>
    <n v="5636.48"/>
    <n v="4749.1899999999996"/>
    <n v="0.16"/>
    <n v="887.29"/>
    <n v="0.3654"/>
    <n v="0.3296"/>
    <n v="9.8100000000000007E-2"/>
    <n v="3.5900000000000001E-2"/>
  </r>
  <r>
    <x v="7"/>
    <x v="8"/>
    <n v="16650.29"/>
    <n v="15278.39"/>
    <n v="0.08"/>
    <n v="1371.89"/>
    <n v="7246.47"/>
    <n v="5874.58"/>
    <n v="0.19"/>
    <n v="1371.89"/>
    <n v="0.43030000000000002"/>
    <n v="0.38419999999999999"/>
    <n v="0.1071"/>
    <n v="4.6100000000000002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E77060-B6D8-4676-9154-FC2B7C102D5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I38:L48" firstHeaderRow="0" firstDataRow="1" firstDataCol="1"/>
  <pivotFields count="14">
    <pivotField axis="axisRow" showAll="0">
      <items count="9">
        <item sd="0" x="0"/>
        <item sd="0" x="1"/>
        <item sd="0" x="2"/>
        <item sd="0" x="5"/>
        <item sd="0" x="6"/>
        <item sd="0" x="7"/>
        <item x="3"/>
        <item x="4"/>
        <item t="default" sd="0"/>
      </items>
    </pivotField>
    <pivotField axis="axisRow" showAll="0">
      <items count="11">
        <item sd="0" m="1" x="9"/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 sd="0"/>
      </items>
    </pivotField>
    <pivotField dataField="1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0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Vanilla mTSP" fld="2" subtotal="average" baseField="1" baseItem="0"/>
    <dataField name="After Centering" fld="3" subtotal="average" baseField="1" baseItem="0"/>
    <dataField name="Diff" fld="5" subtotal="average" baseField="1" baseItem="0"/>
  </dataFields>
  <formats count="1">
    <format dxfId="33">
      <pivotArea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E80537-7487-481C-A1E5-853E9D6EEDC8}" name="Συγκεντρωτικός Πίνακας1" cacheId="0" applyNumberFormats="0" applyBorderFormats="0" applyFontFormats="0" applyPatternFormats="0" applyAlignmentFormats="0" applyWidthHeightFormats="1" dataCaption="Τιμές" grandTotalCaption="Average" updatedVersion="8" minRefreshableVersion="3" useAutoFormatting="1" itemPrintTitles="1" createdVersion="8" indent="0" outline="1" outlineData="1" multipleFieldFilters="0" chartFormat="4">
  <location ref="A4:D14" firstHeaderRow="0" firstDataRow="1" firstDataCol="1"/>
  <pivotFields count="14">
    <pivotField axis="axisRow" showAll="0">
      <items count="9">
        <item sd="0" x="0"/>
        <item sd="0" x="1"/>
        <item sd="0" x="2"/>
        <item sd="0" x="5"/>
        <item sd="0" x="6"/>
        <item sd="0" x="7"/>
        <item x="3"/>
        <item x="4"/>
        <item t="default" sd="0"/>
      </items>
    </pivotField>
    <pivotField axis="axisRow" showAll="0">
      <items count="11">
        <item sd="0" m="1" x="9"/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 sd="0"/>
      </items>
    </pivotField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</pivotFields>
  <rowFields count="2">
    <field x="1"/>
    <field x="0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PD" fld="8" subtotal="average" baseField="0" baseItem="0" numFmtId="9"/>
    <dataField name="Distance" fld="4" subtotal="average" baseField="0" baseItem="0" numFmtId="9"/>
    <dataField name="SPF" fld="12" subtotal="average" baseField="1" baseItem="0" numFmtId="9"/>
  </dataFields>
  <chartFormats count="6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7AEEF6-9644-4A5C-9CCA-379ACFFDB363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N38:Q48" firstHeaderRow="0" firstDataRow="1" firstDataCol="1"/>
  <pivotFields count="14">
    <pivotField axis="axisRow" showAll="0">
      <items count="9">
        <item x="0"/>
        <item x="1"/>
        <item x="2"/>
        <item x="5"/>
        <item x="6"/>
        <item x="7"/>
        <item x="3"/>
        <item x="4"/>
        <item t="default"/>
      </items>
    </pivotField>
    <pivotField axis="axisRow" showAll="0">
      <items count="11">
        <item sd="0" m="1" x="9"/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showAll="0"/>
  </pivotFields>
  <rowFields count="2">
    <field x="1"/>
    <field x="0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Vanilla mTSP" fld="6" subtotal="average" baseField="1" baseItem="0"/>
    <dataField name="After Centering" fld="7" subtotal="average" baseField="1" baseItem="0"/>
    <dataField name="Diff" fld="9" subtotal="average" baseField="1" baseItem="0"/>
  </dataFields>
  <formats count="11">
    <format dxfId="44">
      <pivotArea collapsedLevelsAreSubtotals="1" fieldPosition="0">
        <references count="1">
          <reference field="1" count="1">
            <x v="0"/>
          </reference>
        </references>
      </pivotArea>
    </format>
    <format dxfId="43">
      <pivotArea collapsedLevelsAreSubtotals="1" fieldPosition="0">
        <references count="1">
          <reference field="1" count="1">
            <x v="1"/>
          </reference>
        </references>
      </pivotArea>
    </format>
    <format dxfId="42">
      <pivotArea collapsedLevelsAreSubtotals="1" fieldPosition="0">
        <references count="1">
          <reference field="1" count="1">
            <x v="2"/>
          </reference>
        </references>
      </pivotArea>
    </format>
    <format dxfId="41">
      <pivotArea collapsedLevelsAreSubtotals="1" fieldPosition="0">
        <references count="1">
          <reference field="1" count="1">
            <x v="3"/>
          </reference>
        </references>
      </pivotArea>
    </format>
    <format dxfId="40">
      <pivotArea collapsedLevelsAreSubtotals="1" fieldPosition="0">
        <references count="1">
          <reference field="1" count="1">
            <x v="4"/>
          </reference>
        </references>
      </pivotArea>
    </format>
    <format dxfId="39">
      <pivotArea collapsedLevelsAreSubtotals="1" fieldPosition="0">
        <references count="1">
          <reference field="1" count="1">
            <x v="5"/>
          </reference>
        </references>
      </pivotArea>
    </format>
    <format dxfId="38">
      <pivotArea collapsedLevelsAreSubtotals="1" fieldPosition="0">
        <references count="1">
          <reference field="1" count="1">
            <x v="6"/>
          </reference>
        </references>
      </pivotArea>
    </format>
    <format dxfId="37">
      <pivotArea collapsedLevelsAreSubtotals="1" fieldPosition="0">
        <references count="1">
          <reference field="1" count="1">
            <x v="7"/>
          </reference>
        </references>
      </pivotArea>
    </format>
    <format dxfId="36">
      <pivotArea collapsedLevelsAreSubtotals="1" fieldPosition="0">
        <references count="1">
          <reference field="1" count="1">
            <x v="8"/>
          </reference>
        </references>
      </pivotArea>
    </format>
    <format dxfId="35">
      <pivotArea collapsedLevelsAreSubtotals="1" fieldPosition="0">
        <references count="1">
          <reference field="1" count="1">
            <x v="9"/>
          </reference>
        </references>
      </pivotArea>
    </format>
    <format dxfId="34">
      <pivotArea grandRow="1"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AA2E08-8363-461A-BF41-6F3E6CDD25F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8:D48" firstHeaderRow="0" firstDataRow="1" firstDataCol="1"/>
  <pivotFields count="14">
    <pivotField axis="axisRow" showAll="0">
      <items count="9">
        <item sd="0" x="0"/>
        <item sd="0" x="1"/>
        <item sd="0" x="2"/>
        <item sd="0" x="5"/>
        <item sd="0" x="6"/>
        <item sd="0" x="7"/>
        <item x="3"/>
        <item x="4"/>
        <item t="default" sd="0"/>
      </items>
    </pivotField>
    <pivotField axis="axisRow" showAll="0">
      <items count="11">
        <item sd="0" m="1" x="9"/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</pivotFields>
  <rowFields count="2">
    <field x="1"/>
    <field x="0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Vanilla mTSP" fld="10" subtotal="average" baseField="1" baseItem="0"/>
    <dataField name="After Centering" fld="11" subtotal="average" baseField="1" baseItem="0"/>
    <dataField name="Diff" fld="13" subtotal="average" baseField="1" baseItem="0"/>
  </dataFields>
  <formats count="1">
    <format dxfId="45">
      <pivotArea outline="0" collapsedLevelsAreSubtotals="1" fieldPosition="0"/>
    </format>
  </formats>
  <chartFormats count="5"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E5E64A-461A-4B2D-B0AB-6FEBC89901E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M37:P46" firstHeaderRow="0" firstDataRow="1" firstDataCol="1"/>
  <pivotFields count="14">
    <pivotField axis="axisRow" showAll="0" sortType="ascending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 sd="0"/>
      </items>
    </pivotField>
    <pivotField axis="axisRow" showAll="0">
      <items count="11">
        <item sd="0" m="1" x="9"/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showAll="0"/>
  </pivotFields>
  <rowFields count="2">
    <field x="0"/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Vanilla mTSP" fld="6" subtotal="average" baseField="0" baseItem="0"/>
    <dataField name="After Centering" fld="7" subtotal="average" baseField="0" baseItem="0"/>
    <dataField name="Diff" fld="9" subtotal="average" baseField="0" baseItem="0"/>
  </dataFields>
  <formats count="3">
    <format dxfId="14">
      <pivotArea outline="0" collapsedLevelsAreSubtotals="1" fieldPosition="0"/>
    </format>
    <format dxfId="13">
      <pivotArea dataOnly="0" labelOnly="1" fieldPosition="0">
        <references count="1">
          <reference field="0" count="0"/>
        </references>
      </pivotArea>
    </format>
    <format dxfId="12">
      <pivotArea dataOnly="0" labelOnly="1" grandRow="1" outline="0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2"/>
          </reference>
          <reference field="0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7CB360-9549-4EE8-9C2A-8127C35AD42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37:K46" firstHeaderRow="0" firstDataRow="1" firstDataCol="1"/>
  <pivotFields count="14">
    <pivotField axis="axisRow" showAll="0" sortType="ascending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 sd="0"/>
      </items>
    </pivotField>
    <pivotField axis="axisRow" showAll="0">
      <items count="11">
        <item sd="0" m="1" x="9"/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  <pivotField dataField="1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Vanilla mTSP" fld="2" subtotal="average" baseField="0" baseItem="0"/>
    <dataField name="After Centering" fld="3" subtotal="average" baseField="0" baseItem="0"/>
    <dataField name="Diff" fld="5" subtotal="average" baseField="0" baseItem="0"/>
  </dataFields>
  <formats count="10">
    <format dxfId="24">
      <pivotArea collapsedLevelsAreSubtotals="1" fieldPosition="0">
        <references count="1">
          <reference field="0" count="1">
            <x v="0"/>
          </reference>
        </references>
      </pivotArea>
    </format>
    <format dxfId="23">
      <pivotArea collapsedLevelsAreSubtotals="1" fieldPosition="0">
        <references count="1">
          <reference field="0" count="1">
            <x v="1"/>
          </reference>
        </references>
      </pivotArea>
    </format>
    <format dxfId="22">
      <pivotArea collapsedLevelsAreSubtotals="1" fieldPosition="0">
        <references count="1">
          <reference field="0" count="1">
            <x v="2"/>
          </reference>
        </references>
      </pivotArea>
    </format>
    <format dxfId="21">
      <pivotArea collapsedLevelsAreSubtotals="1" fieldPosition="0">
        <references count="1">
          <reference field="0" count="1">
            <x v="5"/>
          </reference>
        </references>
      </pivotArea>
    </format>
    <format dxfId="20">
      <pivotArea collapsedLevelsAreSubtotals="1" fieldPosition="0">
        <references count="1">
          <reference field="0" count="1">
            <x v="6"/>
          </reference>
        </references>
      </pivotArea>
    </format>
    <format dxfId="19">
      <pivotArea collapsedLevelsAreSubtotals="1" fieldPosition="0">
        <references count="1">
          <reference field="0" count="1">
            <x v="7"/>
          </reference>
        </references>
      </pivotArea>
    </format>
    <format dxfId="18">
      <pivotArea grandRow="1" outline="0" collapsedLevelsAreSubtotals="1" fieldPosition="0"/>
    </format>
    <format dxfId="17">
      <pivotArea outline="0" collapsedLevelsAreSubtotals="1" fieldPosition="0"/>
    </format>
    <format dxfId="16">
      <pivotArea dataOnly="0" labelOnly="1" fieldPosition="0">
        <references count="1">
          <reference field="0" count="0"/>
        </references>
      </pivotArea>
    </format>
    <format dxfId="15">
      <pivotArea dataOnly="0" labelOnly="1" grandRow="1" outline="0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5A67CE-745D-4A94-B086-F3A4340835A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7:D46" firstHeaderRow="0" firstDataRow="1" firstDataCol="1"/>
  <pivotFields count="14">
    <pivotField axis="axisRow" showAll="0" sortType="ascending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 sd="0"/>
      </items>
    </pivotField>
    <pivotField axis="axisRow" showAll="0">
      <items count="11">
        <item sd="0" m="1" x="9"/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multipleItemSelectionAllowed="1" showAll="0"/>
    <pivotField dataField="1" showAll="0"/>
  </pivotFields>
  <rowFields count="2">
    <field x="0"/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Vanilla mTSP" fld="10" subtotal="average" baseField="0" baseItem="0"/>
    <dataField name="After Centering" fld="11" subtotal="average" baseField="0" baseItem="0"/>
    <dataField name="Diff" fld="13" subtotal="average" baseField="0" baseItem="0"/>
  </dataFields>
  <formats count="8">
    <format dxfId="32">
      <pivotArea collapsedLevelsAreSubtotals="1" fieldPosition="0">
        <references count="1">
          <reference field="0" count="1">
            <x v="0"/>
          </reference>
        </references>
      </pivotArea>
    </format>
    <format dxfId="31">
      <pivotArea collapsedLevelsAreSubtotals="1" fieldPosition="0">
        <references count="1">
          <reference field="0" count="1">
            <x v="1"/>
          </reference>
        </references>
      </pivotArea>
    </format>
    <format dxfId="30">
      <pivotArea collapsedLevelsAreSubtotals="1" fieldPosition="0">
        <references count="1">
          <reference field="0" count="1">
            <x v="2"/>
          </reference>
        </references>
      </pivotArea>
    </format>
    <format dxfId="29">
      <pivotArea collapsedLevelsAreSubtotals="1" fieldPosition="0">
        <references count="1">
          <reference field="0" count="1">
            <x v="5"/>
          </reference>
        </references>
      </pivotArea>
    </format>
    <format dxfId="28">
      <pivotArea collapsedLevelsAreSubtotals="1" fieldPosition="0">
        <references count="1">
          <reference field="0" count="1">
            <x v="6"/>
          </reference>
        </references>
      </pivotArea>
    </format>
    <format dxfId="27">
      <pivotArea collapsedLevelsAreSubtotals="1" fieldPosition="0">
        <references count="1">
          <reference field="0" count="1">
            <x v="7"/>
          </reference>
        </references>
      </pivotArea>
    </format>
    <format dxfId="26">
      <pivotArea grandRow="1" outline="0" collapsedLevelsAreSubtotals="1" fieldPosition="0"/>
    </format>
    <format dxfId="25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C496F1-2F38-4F2E-867C-0FDC55FEF315}" name="Συγκεντρωτικός Πίνακας1" cacheId="0" applyNumberFormats="0" applyBorderFormats="0" applyFontFormats="0" applyPatternFormats="0" applyAlignmentFormats="0" applyWidthHeightFormats="1" dataCaption="Τιμές" grandTotalCaption="Average" updatedVersion="8" minRefreshableVersion="3" useAutoFormatting="1" itemPrintTitles="1" createdVersion="8" indent="0" outline="1" outlineData="1" multipleFieldFilters="0" chartFormat="1">
  <location ref="A5:D14" firstHeaderRow="0" firstDataRow="1" firstDataCol="1"/>
  <pivotFields count="14">
    <pivotField axis="axisRow" showAll="0" sortType="ascending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 sd="0"/>
      </items>
    </pivotField>
    <pivotField axis="axisRow" showAll="0">
      <items count="11">
        <item m="1" x="9"/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</pivotFields>
  <rowFields count="2">
    <field x="0"/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PD" fld="8" subtotal="average" baseField="0" baseItem="0" numFmtId="9"/>
    <dataField name="Distance" fld="4" subtotal="average" baseField="0" baseItem="0" numFmtId="9"/>
    <dataField name="SPF" fld="12" subtotal="average" baseField="0" baseItem="0" numFmtId="9"/>
  </dataFields>
  <chartFormats count="3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3D7E4E-353B-49E4-B66E-4783BBA38C14}" name="Merged_1" displayName="Merged_1" ref="A2:N67" totalsRowShown="0">
  <autoFilter ref="A2:N67" xr:uid="{473D7E4E-353B-49E4-B66E-4783BBA38C14}"/>
  <sortState xmlns:xlrd2="http://schemas.microsoft.com/office/spreadsheetml/2017/richdata2" ref="A3:N3">
    <sortCondition ref="A2:A3"/>
  </sortState>
  <tableColumns count="14">
    <tableColumn id="1" xr3:uid="{38AB3CA8-F72A-4E93-B1EE-CFD7C6A2CA35}" name="Stations"/>
    <tableColumn id="2" xr3:uid="{063ABD24-8B7A-4CC2-8544-13D2638E9634}" name="Drones"/>
    <tableColumn id="5" xr3:uid="{A6BD9F12-1F19-4B10-8D56-AE817176785A}" name="Optimised.Distance" dataDxfId="11"/>
    <tableColumn id="6" xr3:uid="{52DED7F0-7B95-4842-886E-F040D941A919}" name="Center.Distance" dataDxfId="10"/>
    <tableColumn id="10" xr3:uid="{D2FDD44C-7E90-4089-92F0-1040BE655B39}" name="Distance Imrovement" dataDxfId="9"/>
    <tableColumn id="12" xr3:uid="{1EBAB775-CB85-49B2-9440-B1E63EEB0EBD}" name="Diff Distance" dataDxfId="8"/>
    <tableColumn id="7" xr3:uid="{94FBA651-0270-4C1B-AE72-73DC67F67730}" name="Optimised.SPD.Avg" dataDxfId="7"/>
    <tableColumn id="8" xr3:uid="{D782C6EE-35C6-4871-A5BD-9D7794D841BB}" name="Center.SPD.Avg" dataDxfId="6"/>
    <tableColumn id="11" xr3:uid="{C52B2094-1A72-484D-B8C6-2CAA3DF3ECB7}" name="SPD Impovement" dataDxfId="5"/>
    <tableColumn id="13" xr3:uid="{A5F5A803-C3AB-48F6-B904-AE40AA462A19}" name="Diff SPD" dataDxfId="4"/>
    <tableColumn id="3" xr3:uid="{633E86AD-9992-4B2C-A874-EEA283651577}" name="Optimised.SPF.Avg" dataDxfId="3"/>
    <tableColumn id="4" xr3:uid="{8D8AECC6-A42A-48CB-8A07-B33C88760E05}" name="Center.SPF.Avg" dataDxfId="2"/>
    <tableColumn id="9" xr3:uid="{DE6BADC2-5FDE-499C-BF52-947A4CAE88BA}" name="SPF Imrovement" dataDxfId="1"/>
    <tableColumn id="14" xr3:uid="{1307E0FE-1DBF-4F2B-8952-F10DBF606E25}" name="Diff SPF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drawing" Target="../drawings/drawing6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8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E47B5-70BA-42D5-84FE-59054B2947BE}">
  <dimension ref="A1:T48"/>
  <sheetViews>
    <sheetView workbookViewId="0">
      <selection activeCell="Q20" sqref="Q20"/>
    </sheetView>
  </sheetViews>
  <sheetFormatPr defaultRowHeight="14.25" x14ac:dyDescent="0.45"/>
  <cols>
    <col min="1" max="1" width="12.33203125" bestFit="1" customWidth="1"/>
    <col min="2" max="2" width="11.53125" bestFit="1" customWidth="1"/>
    <col min="3" max="3" width="13.796875" bestFit="1" customWidth="1"/>
    <col min="4" max="4" width="4.265625" bestFit="1" customWidth="1"/>
    <col min="9" max="9" width="12.33203125" bestFit="1" customWidth="1"/>
    <col min="10" max="10" width="11.53125" bestFit="1" customWidth="1"/>
    <col min="11" max="11" width="13.796875" bestFit="1" customWidth="1"/>
    <col min="12" max="12" width="4.73046875" bestFit="1" customWidth="1"/>
    <col min="13" max="13" width="11.59765625" customWidth="1"/>
    <col min="14" max="14" width="12.33203125" bestFit="1" customWidth="1"/>
    <col min="15" max="15" width="11.53125" bestFit="1" customWidth="1"/>
    <col min="16" max="16" width="13.796875" bestFit="1" customWidth="1"/>
    <col min="17" max="17" width="4.73046875" bestFit="1" customWidth="1"/>
  </cols>
  <sheetData>
    <row r="1" spans="1:20" ht="23.25" x14ac:dyDescent="0.7">
      <c r="A1" s="11" t="s">
        <v>24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ht="15.75" x14ac:dyDescent="0.5">
      <c r="A2" s="8"/>
    </row>
    <row r="4" spans="1:20" x14ac:dyDescent="0.45">
      <c r="A4" s="1" t="s">
        <v>15</v>
      </c>
      <c r="B4" t="s">
        <v>14</v>
      </c>
      <c r="C4" t="s">
        <v>2</v>
      </c>
      <c r="D4" t="s">
        <v>9</v>
      </c>
    </row>
    <row r="5" spans="1:20" x14ac:dyDescent="0.45">
      <c r="A5" s="2">
        <v>2</v>
      </c>
      <c r="B5" s="3">
        <v>0.19625000000000004</v>
      </c>
      <c r="C5" s="3">
        <v>6.8750000000000006E-2</v>
      </c>
      <c r="D5" s="3">
        <v>0.13582499999999997</v>
      </c>
    </row>
    <row r="6" spans="1:20" x14ac:dyDescent="0.45">
      <c r="A6" s="2">
        <v>3</v>
      </c>
      <c r="B6" s="3">
        <v>0.19625000000000001</v>
      </c>
      <c r="C6" s="3">
        <v>9.375E-2</v>
      </c>
      <c r="D6" s="3">
        <v>0.10761250000000001</v>
      </c>
    </row>
    <row r="7" spans="1:20" x14ac:dyDescent="0.45">
      <c r="A7" s="2">
        <v>4</v>
      </c>
      <c r="B7" s="3">
        <v>0.20500000000000002</v>
      </c>
      <c r="C7" s="3">
        <v>0.11250000000000002</v>
      </c>
      <c r="D7" s="3">
        <v>9.6937499999999996E-2</v>
      </c>
    </row>
    <row r="8" spans="1:20" x14ac:dyDescent="0.45">
      <c r="A8" s="2">
        <v>5</v>
      </c>
      <c r="B8" s="3">
        <v>0.22857142857142856</v>
      </c>
      <c r="C8" s="3">
        <v>0.13285714285714287</v>
      </c>
      <c r="D8" s="3">
        <v>0.10130000000000002</v>
      </c>
    </row>
    <row r="9" spans="1:20" x14ac:dyDescent="0.45">
      <c r="A9" s="2">
        <v>6</v>
      </c>
      <c r="B9" s="3">
        <v>0.23285714285714285</v>
      </c>
      <c r="C9" s="3">
        <v>0.13857142857142857</v>
      </c>
      <c r="D9" s="3">
        <v>0.10072857142857143</v>
      </c>
    </row>
    <row r="10" spans="1:20" x14ac:dyDescent="0.45">
      <c r="A10" s="2">
        <v>7</v>
      </c>
      <c r="B10" s="3">
        <v>0.22999999999999998</v>
      </c>
      <c r="C10" s="3">
        <v>0.14857142857142855</v>
      </c>
      <c r="D10" s="3">
        <v>8.7757142857142867E-2</v>
      </c>
    </row>
    <row r="11" spans="1:20" x14ac:dyDescent="0.45">
      <c r="A11" s="2">
        <v>8</v>
      </c>
      <c r="B11" s="3">
        <v>0.23714285714285713</v>
      </c>
      <c r="C11" s="3">
        <v>0.16428571428571431</v>
      </c>
      <c r="D11" s="3">
        <v>8.0228571428571427E-2</v>
      </c>
    </row>
    <row r="12" spans="1:20" x14ac:dyDescent="0.45">
      <c r="A12" s="2">
        <v>9</v>
      </c>
      <c r="B12" s="3">
        <v>0.24142857142857141</v>
      </c>
      <c r="C12" s="3">
        <v>0.17571428571428571</v>
      </c>
      <c r="D12" s="3">
        <v>7.5085714285714283E-2</v>
      </c>
    </row>
    <row r="13" spans="1:20" x14ac:dyDescent="0.45">
      <c r="A13" s="2">
        <v>10</v>
      </c>
      <c r="B13" s="3">
        <v>0.24333333333333332</v>
      </c>
      <c r="C13" s="3">
        <v>0.17500000000000002</v>
      </c>
      <c r="D13" s="3">
        <v>7.3483333333333331E-2</v>
      </c>
    </row>
    <row r="14" spans="1:20" x14ac:dyDescent="0.45">
      <c r="A14" s="2" t="s">
        <v>13</v>
      </c>
      <c r="B14" s="3">
        <v>0.222</v>
      </c>
      <c r="C14" s="3">
        <v>0.13184615384615384</v>
      </c>
      <c r="D14" s="3">
        <v>9.6609230769230739E-2</v>
      </c>
    </row>
    <row r="38" spans="1:17" x14ac:dyDescent="0.45">
      <c r="A38" s="1" t="s">
        <v>15</v>
      </c>
      <c r="B38" t="s">
        <v>18</v>
      </c>
      <c r="C38" t="s">
        <v>17</v>
      </c>
      <c r="D38" t="s">
        <v>22</v>
      </c>
      <c r="I38" s="1" t="s">
        <v>15</v>
      </c>
      <c r="J38" t="s">
        <v>18</v>
      </c>
      <c r="K38" t="s">
        <v>17</v>
      </c>
      <c r="L38" t="s">
        <v>22</v>
      </c>
      <c r="N38" s="1" t="s">
        <v>15</v>
      </c>
      <c r="O38" t="s">
        <v>18</v>
      </c>
      <c r="P38" t="s">
        <v>17</v>
      </c>
      <c r="Q38" t="s">
        <v>22</v>
      </c>
    </row>
    <row r="39" spans="1:17" x14ac:dyDescent="0.45">
      <c r="A39" s="2">
        <v>2</v>
      </c>
      <c r="B39" s="7">
        <v>0.26082500000000003</v>
      </c>
      <c r="C39" s="7">
        <v>0.22218750000000001</v>
      </c>
      <c r="D39" s="7">
        <v>3.8637500000000005E-2</v>
      </c>
      <c r="I39" s="2">
        <v>2</v>
      </c>
      <c r="J39" s="5">
        <v>5490.9175000000005</v>
      </c>
      <c r="K39" s="5">
        <v>5226.9662500000004</v>
      </c>
      <c r="L39" s="5">
        <v>263.95249999999999</v>
      </c>
      <c r="N39" s="2">
        <v>2</v>
      </c>
      <c r="O39" s="5">
        <v>1130.6000000000001</v>
      </c>
      <c r="P39" s="5">
        <v>866.64875000000006</v>
      </c>
      <c r="Q39" s="5">
        <v>263.95249999999999</v>
      </c>
    </row>
    <row r="40" spans="1:17" x14ac:dyDescent="0.45">
      <c r="A40" s="2">
        <v>3</v>
      </c>
      <c r="B40" s="7">
        <v>0.382525</v>
      </c>
      <c r="C40" s="7">
        <v>0.34178749999999997</v>
      </c>
      <c r="D40" s="7">
        <v>4.0712499999999999E-2</v>
      </c>
      <c r="I40" s="2">
        <v>3</v>
      </c>
      <c r="J40" s="5">
        <v>6473.4037499999995</v>
      </c>
      <c r="K40" s="5">
        <v>6015.1662500000002</v>
      </c>
      <c r="L40" s="5">
        <v>458.23750000000001</v>
      </c>
      <c r="N40" s="2">
        <v>3</v>
      </c>
      <c r="O40" s="5">
        <v>2027.1187500000001</v>
      </c>
      <c r="P40" s="5">
        <v>1568.88375</v>
      </c>
      <c r="Q40" s="5">
        <v>458.23750000000001</v>
      </c>
    </row>
    <row r="41" spans="1:17" x14ac:dyDescent="0.45">
      <c r="A41" s="2">
        <v>4</v>
      </c>
      <c r="B41" s="7">
        <v>0.46647499999999997</v>
      </c>
      <c r="C41" s="7">
        <v>0.42296250000000002</v>
      </c>
      <c r="D41" s="7">
        <v>4.3512499999999996E-2</v>
      </c>
      <c r="I41" s="2">
        <v>4</v>
      </c>
      <c r="J41" s="5">
        <v>7239.1049999999996</v>
      </c>
      <c r="K41" s="5">
        <v>6604.4437500000004</v>
      </c>
      <c r="L41" s="5">
        <v>634.66125</v>
      </c>
      <c r="N41" s="2">
        <v>4</v>
      </c>
      <c r="O41" s="5">
        <v>2858.2787499999999</v>
      </c>
      <c r="P41" s="5">
        <v>2223.61625</v>
      </c>
      <c r="Q41" s="5">
        <v>634.66125</v>
      </c>
    </row>
    <row r="42" spans="1:17" x14ac:dyDescent="0.45">
      <c r="A42" s="2">
        <v>5</v>
      </c>
      <c r="B42" s="7">
        <v>0.50895714285714289</v>
      </c>
      <c r="C42" s="7">
        <v>0.45892857142857135</v>
      </c>
      <c r="D42" s="7">
        <v>5.0042857142857153E-2</v>
      </c>
      <c r="I42" s="2">
        <v>5</v>
      </c>
      <c r="J42" s="5">
        <v>8866.1728571428575</v>
      </c>
      <c r="K42" s="5">
        <v>7845.4471428571424</v>
      </c>
      <c r="L42" s="5">
        <v>1020.7257142857143</v>
      </c>
      <c r="N42" s="2">
        <v>5</v>
      </c>
      <c r="O42" s="5">
        <v>4124.2057142857138</v>
      </c>
      <c r="P42" s="5">
        <v>3103.477142857143</v>
      </c>
      <c r="Q42" s="5">
        <v>1020.7257142857143</v>
      </c>
    </row>
    <row r="43" spans="1:17" x14ac:dyDescent="0.45">
      <c r="A43" s="2">
        <v>6</v>
      </c>
      <c r="B43" s="7">
        <v>0.5371285714285714</v>
      </c>
      <c r="C43" s="7">
        <v>0.48472857142857134</v>
      </c>
      <c r="D43" s="7">
        <v>5.2428571428571429E-2</v>
      </c>
      <c r="I43" s="2">
        <v>6</v>
      </c>
      <c r="J43" s="5">
        <v>9184.6785714285706</v>
      </c>
      <c r="K43" s="5">
        <v>8083.4971428571425</v>
      </c>
      <c r="L43" s="5">
        <v>1101.1814285714286</v>
      </c>
      <c r="N43" s="2">
        <v>6</v>
      </c>
      <c r="O43" s="5">
        <v>4539.1171428571424</v>
      </c>
      <c r="P43" s="5">
        <v>3437.937142857143</v>
      </c>
      <c r="Q43" s="5">
        <v>1101.1814285714286</v>
      </c>
    </row>
    <row r="44" spans="1:17" x14ac:dyDescent="0.45">
      <c r="A44" s="2">
        <v>7</v>
      </c>
      <c r="B44" s="7">
        <v>0.59785714285714298</v>
      </c>
      <c r="C44" s="7">
        <v>0.54814285714285715</v>
      </c>
      <c r="D44" s="7">
        <v>4.9714285714285711E-2</v>
      </c>
      <c r="I44" s="2">
        <v>7</v>
      </c>
      <c r="J44" s="5">
        <v>9902.238571428572</v>
      </c>
      <c r="K44" s="5">
        <v>8606.8914285714291</v>
      </c>
      <c r="L44" s="5">
        <v>1295.3485714285712</v>
      </c>
      <c r="N44" s="2">
        <v>7</v>
      </c>
      <c r="O44" s="5">
        <v>5551.4685714285715</v>
      </c>
      <c r="P44" s="5">
        <v>4256.1228571428564</v>
      </c>
      <c r="Q44" s="5">
        <v>1295.3471428571427</v>
      </c>
    </row>
    <row r="45" spans="1:17" x14ac:dyDescent="0.45">
      <c r="A45" s="2">
        <v>8</v>
      </c>
      <c r="B45" s="7">
        <v>0.64628571428571424</v>
      </c>
      <c r="C45" s="7">
        <v>0.59832857142857143</v>
      </c>
      <c r="D45" s="7">
        <v>4.7942857142857141E-2</v>
      </c>
      <c r="I45" s="2">
        <v>8</v>
      </c>
      <c r="J45" s="5">
        <v>10667.715714285714</v>
      </c>
      <c r="K45" s="5">
        <v>9103.511428571428</v>
      </c>
      <c r="L45" s="5">
        <v>1564.2014285714283</v>
      </c>
      <c r="N45" s="2">
        <v>8</v>
      </c>
      <c r="O45" s="5">
        <v>6546.54</v>
      </c>
      <c r="P45" s="5">
        <v>4982.3357142857149</v>
      </c>
      <c r="Q45" s="5">
        <v>1564.2014285714283</v>
      </c>
    </row>
    <row r="46" spans="1:17" x14ac:dyDescent="0.45">
      <c r="A46" s="2">
        <v>9</v>
      </c>
      <c r="B46" s="7">
        <v>0.68294285714285718</v>
      </c>
      <c r="C46" s="7">
        <v>0.63471428571428579</v>
      </c>
      <c r="D46" s="7">
        <v>4.8228571428571433E-2</v>
      </c>
      <c r="I46" s="2">
        <v>9</v>
      </c>
      <c r="J46" s="5">
        <v>11375.641428571429</v>
      </c>
      <c r="K46" s="5">
        <v>9571.2185714285697</v>
      </c>
      <c r="L46" s="5">
        <v>1804.4228571428571</v>
      </c>
      <c r="N46" s="2">
        <v>9</v>
      </c>
      <c r="O46" s="5">
        <v>7428.4528571428573</v>
      </c>
      <c r="P46" s="5">
        <v>5624.0314285714285</v>
      </c>
      <c r="Q46" s="5">
        <v>1804.4228571428571</v>
      </c>
    </row>
    <row r="47" spans="1:17" x14ac:dyDescent="0.45">
      <c r="A47" s="2">
        <v>10</v>
      </c>
      <c r="B47" s="7">
        <v>0.69851666666666656</v>
      </c>
      <c r="C47" s="7">
        <v>0.6515833333333334</v>
      </c>
      <c r="D47" s="7">
        <v>4.6966666666666657E-2</v>
      </c>
      <c r="I47" s="2">
        <v>10</v>
      </c>
      <c r="J47" s="5">
        <v>13139.038333333336</v>
      </c>
      <c r="K47" s="5">
        <v>10945.498333333335</v>
      </c>
      <c r="L47" s="5">
        <v>2193.5399999999995</v>
      </c>
      <c r="N47" s="2">
        <v>10</v>
      </c>
      <c r="O47" s="5">
        <v>8911.7333333333354</v>
      </c>
      <c r="P47" s="5">
        <v>6718.1933333333336</v>
      </c>
      <c r="Q47" s="5">
        <v>2193.5399999999995</v>
      </c>
    </row>
    <row r="48" spans="1:17" x14ac:dyDescent="0.45">
      <c r="A48" s="2" t="s">
        <v>16</v>
      </c>
      <c r="B48" s="7">
        <v>0.52125999999999995</v>
      </c>
      <c r="C48" s="7">
        <v>0.47505999999999998</v>
      </c>
      <c r="D48" s="7">
        <v>4.6203076923076909E-2</v>
      </c>
      <c r="I48" s="2" t="s">
        <v>16</v>
      </c>
      <c r="J48" s="5">
        <v>8960.5656923076931</v>
      </c>
      <c r="K48" s="5">
        <v>7860.3009230769212</v>
      </c>
      <c r="L48" s="5">
        <v>1100.2647692307696</v>
      </c>
      <c r="N48" s="2" t="s">
        <v>16</v>
      </c>
      <c r="O48" s="5">
        <v>4598.8749230769226</v>
      </c>
      <c r="P48" s="5">
        <v>3498.6104615384611</v>
      </c>
      <c r="Q48" s="5">
        <v>1100.2646153846156</v>
      </c>
    </row>
  </sheetData>
  <mergeCells count="2">
    <mergeCell ref="A1:R1"/>
    <mergeCell ref="S1:T1"/>
  </mergeCells>
  <pageMargins left="0.7" right="0.7" top="0.75" bottom="0.75" header="0.3" footer="0.3"/>
  <pageSetup paperSize="9" scale="92"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08425-9C17-4A67-B684-A0A26B4EC7DD}">
  <dimension ref="A1:R46"/>
  <sheetViews>
    <sheetView tabSelected="1" workbookViewId="0">
      <selection activeCell="Q8" sqref="Q8"/>
    </sheetView>
  </sheetViews>
  <sheetFormatPr defaultRowHeight="14.25" x14ac:dyDescent="0.45"/>
  <cols>
    <col min="1" max="1" width="12.33203125" bestFit="1" customWidth="1"/>
    <col min="2" max="2" width="11.53125" bestFit="1" customWidth="1"/>
    <col min="3" max="3" width="13.796875" bestFit="1" customWidth="1"/>
    <col min="4" max="4" width="4.265625" bestFit="1" customWidth="1"/>
    <col min="8" max="8" width="12.33203125" bestFit="1" customWidth="1"/>
    <col min="9" max="9" width="11.53125" bestFit="1" customWidth="1"/>
    <col min="10" max="10" width="13.796875" bestFit="1" customWidth="1"/>
    <col min="11" max="11" width="4.73046875" bestFit="1" customWidth="1"/>
    <col min="12" max="12" width="9.19921875" customWidth="1"/>
    <col min="13" max="13" width="12.33203125" bestFit="1" customWidth="1"/>
    <col min="14" max="14" width="11.53125" bestFit="1" customWidth="1"/>
    <col min="15" max="15" width="13.796875" bestFit="1" customWidth="1"/>
    <col min="16" max="16" width="4.73046875" bestFit="1" customWidth="1"/>
    <col min="17" max="17" width="13.1328125" bestFit="1" customWidth="1"/>
    <col min="18" max="18" width="12.3984375" bestFit="1" customWidth="1"/>
    <col min="19" max="19" width="14.86328125" bestFit="1" customWidth="1"/>
  </cols>
  <sheetData>
    <row r="1" spans="1:18" ht="23.25" x14ac:dyDescent="0.7">
      <c r="A1" s="11" t="s">
        <v>23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ht="15.75" x14ac:dyDescent="0.5">
      <c r="A2" s="8"/>
    </row>
    <row r="5" spans="1:18" x14ac:dyDescent="0.45">
      <c r="A5" s="1" t="s">
        <v>15</v>
      </c>
      <c r="B5" t="s">
        <v>14</v>
      </c>
      <c r="C5" t="s">
        <v>2</v>
      </c>
      <c r="D5" t="s">
        <v>9</v>
      </c>
    </row>
    <row r="6" spans="1:18" x14ac:dyDescent="0.45">
      <c r="A6" s="2">
        <v>5</v>
      </c>
      <c r="B6" s="3">
        <v>0.32666666666666666</v>
      </c>
      <c r="C6" s="3">
        <v>0.25333333333333335</v>
      </c>
      <c r="D6" s="3">
        <v>8.879999999999999E-2</v>
      </c>
    </row>
    <row r="7" spans="1:18" x14ac:dyDescent="0.45">
      <c r="A7" s="2">
        <v>10</v>
      </c>
      <c r="B7" s="3">
        <v>0.29375000000000001</v>
      </c>
      <c r="C7" s="3">
        <v>0.22125</v>
      </c>
      <c r="D7" s="3">
        <v>8.6175000000000002E-2</v>
      </c>
    </row>
    <row r="8" spans="1:18" x14ac:dyDescent="0.45">
      <c r="A8" s="2">
        <v>15</v>
      </c>
      <c r="B8" s="3">
        <v>0.26999999999999996</v>
      </c>
      <c r="C8" s="3">
        <v>0.18999999999999997</v>
      </c>
      <c r="D8" s="3">
        <v>9.003333333333334E-2</v>
      </c>
      <c r="Q8" t="s">
        <v>29</v>
      </c>
    </row>
    <row r="9" spans="1:18" x14ac:dyDescent="0.45">
      <c r="A9" s="2">
        <v>20</v>
      </c>
      <c r="B9" s="3">
        <v>0.25111111111111112</v>
      </c>
      <c r="C9" s="3">
        <v>0.16222222222222221</v>
      </c>
      <c r="D9" s="3">
        <v>9.7933333333333344E-2</v>
      </c>
    </row>
    <row r="10" spans="1:18" x14ac:dyDescent="0.45">
      <c r="A10" s="2">
        <v>25</v>
      </c>
      <c r="B10" s="3">
        <v>0.21777777777777774</v>
      </c>
      <c r="C10" s="3">
        <v>0.12555555555555553</v>
      </c>
      <c r="D10" s="3">
        <v>9.5844444444444427E-2</v>
      </c>
    </row>
    <row r="11" spans="1:18" x14ac:dyDescent="0.45">
      <c r="A11" s="2">
        <v>45</v>
      </c>
      <c r="B11" s="3">
        <v>0.19</v>
      </c>
      <c r="C11" s="3">
        <v>8.8888888888888892E-2</v>
      </c>
      <c r="D11" s="3">
        <v>0.10482222222222222</v>
      </c>
    </row>
    <row r="12" spans="1:18" x14ac:dyDescent="0.45">
      <c r="A12" s="2">
        <v>60</v>
      </c>
      <c r="B12" s="3">
        <v>0.17333333333333331</v>
      </c>
      <c r="C12" s="3">
        <v>6.8888888888888888E-2</v>
      </c>
      <c r="D12" s="3">
        <v>0.10646666666666667</v>
      </c>
    </row>
    <row r="13" spans="1:18" x14ac:dyDescent="0.45">
      <c r="A13" s="2">
        <v>100</v>
      </c>
      <c r="B13" s="3">
        <v>0.13111111111111112</v>
      </c>
      <c r="C13" s="3">
        <v>3.5555555555555556E-2</v>
      </c>
      <c r="D13" s="3">
        <v>9.6433333333333329E-2</v>
      </c>
    </row>
    <row r="14" spans="1:18" x14ac:dyDescent="0.45">
      <c r="A14" s="2" t="s">
        <v>13</v>
      </c>
      <c r="B14" s="3">
        <v>0.22199999999999992</v>
      </c>
      <c r="C14" s="3">
        <v>0.13184615384615381</v>
      </c>
      <c r="D14" s="3">
        <v>9.6609230769230767E-2</v>
      </c>
    </row>
    <row r="37" spans="1:16" x14ac:dyDescent="0.45">
      <c r="A37" s="1" t="s">
        <v>15</v>
      </c>
      <c r="B37" t="s">
        <v>18</v>
      </c>
      <c r="C37" t="s">
        <v>17</v>
      </c>
      <c r="D37" t="s">
        <v>22</v>
      </c>
      <c r="H37" s="1" t="s">
        <v>15</v>
      </c>
      <c r="I37" t="s">
        <v>18</v>
      </c>
      <c r="J37" t="s">
        <v>17</v>
      </c>
      <c r="K37" t="s">
        <v>22</v>
      </c>
      <c r="M37" s="1" t="s">
        <v>15</v>
      </c>
      <c r="N37" t="s">
        <v>18</v>
      </c>
      <c r="O37" t="s">
        <v>17</v>
      </c>
      <c r="P37" t="s">
        <v>22</v>
      </c>
    </row>
    <row r="38" spans="1:16" x14ac:dyDescent="0.45">
      <c r="A38" s="2">
        <v>5</v>
      </c>
      <c r="B38" s="7">
        <v>0.77219999999999989</v>
      </c>
      <c r="C38" s="7">
        <v>0.7070333333333334</v>
      </c>
      <c r="D38" s="7">
        <v>6.5199999999999994E-2</v>
      </c>
      <c r="E38" s="4"/>
      <c r="F38" s="4"/>
      <c r="G38" s="4"/>
      <c r="H38" s="6">
        <v>5</v>
      </c>
      <c r="I38" s="5">
        <v>3448.3166666666671</v>
      </c>
      <c r="J38" s="5">
        <v>2574.89</v>
      </c>
      <c r="K38" s="5">
        <v>873.42333333333329</v>
      </c>
      <c r="L38" s="5"/>
      <c r="M38" s="6">
        <v>5</v>
      </c>
      <c r="N38" s="5">
        <v>2712.32</v>
      </c>
      <c r="O38" s="5">
        <v>1838.8933333333334</v>
      </c>
      <c r="P38" s="5">
        <v>873.42333333333329</v>
      </c>
    </row>
    <row r="39" spans="1:16" x14ac:dyDescent="0.45">
      <c r="A39" s="2">
        <v>10</v>
      </c>
      <c r="B39" s="7">
        <v>0.73353749999999995</v>
      </c>
      <c r="C39" s="7">
        <v>0.67489999999999994</v>
      </c>
      <c r="D39" s="7">
        <v>5.8649999999999994E-2</v>
      </c>
      <c r="E39" s="4"/>
      <c r="F39" s="4"/>
      <c r="G39" s="4"/>
      <c r="H39" s="6">
        <v>10</v>
      </c>
      <c r="I39" s="5">
        <v>5856.3275000000003</v>
      </c>
      <c r="J39" s="5">
        <v>4499.8312499999993</v>
      </c>
      <c r="K39" s="5">
        <v>1356.4962500000001</v>
      </c>
      <c r="L39" s="5"/>
      <c r="M39" s="6">
        <v>10</v>
      </c>
      <c r="N39" s="5">
        <v>4479.3050000000003</v>
      </c>
      <c r="O39" s="5">
        <v>3122.8062500000001</v>
      </c>
      <c r="P39" s="5">
        <v>1356.4962500000001</v>
      </c>
    </row>
    <row r="40" spans="1:16" x14ac:dyDescent="0.45">
      <c r="A40" s="2">
        <v>15</v>
      </c>
      <c r="B40" s="7">
        <v>0.68608888888888886</v>
      </c>
      <c r="C40" s="7">
        <v>0.63178888888888896</v>
      </c>
      <c r="D40" s="7">
        <v>5.4311111111111109E-2</v>
      </c>
      <c r="E40" s="4"/>
      <c r="F40" s="4"/>
      <c r="G40" s="4"/>
      <c r="H40" s="6">
        <v>15</v>
      </c>
      <c r="I40" s="5">
        <v>7399.565555555555</v>
      </c>
      <c r="J40" s="5">
        <v>5919.4111111111106</v>
      </c>
      <c r="K40" s="5">
        <v>1480.1544444444444</v>
      </c>
      <c r="L40" s="5"/>
      <c r="M40" s="6">
        <v>15</v>
      </c>
      <c r="N40" s="5">
        <v>5444.3311111111116</v>
      </c>
      <c r="O40" s="5">
        <v>3964.1788888888891</v>
      </c>
      <c r="P40" s="5">
        <v>1480.1544444444444</v>
      </c>
    </row>
    <row r="41" spans="1:16" x14ac:dyDescent="0.45">
      <c r="A41" s="2">
        <v>20</v>
      </c>
      <c r="B41" s="7">
        <v>0.61974444444444432</v>
      </c>
      <c r="C41" s="7">
        <v>0.56523333333333325</v>
      </c>
      <c r="D41" s="7">
        <v>5.4499999999999993E-2</v>
      </c>
      <c r="E41" s="4"/>
      <c r="F41" s="4"/>
      <c r="G41" s="4"/>
      <c r="H41" s="6">
        <v>20</v>
      </c>
      <c r="I41" s="5">
        <v>8136.6100000000006</v>
      </c>
      <c r="J41" s="5">
        <v>6691.7955555555554</v>
      </c>
      <c r="K41" s="5">
        <v>1444.8155555555556</v>
      </c>
      <c r="L41" s="5"/>
      <c r="M41" s="6">
        <v>20</v>
      </c>
      <c r="N41" s="5">
        <v>5482.7333333333336</v>
      </c>
      <c r="O41" s="5">
        <v>4037.9188888888884</v>
      </c>
      <c r="P41" s="5">
        <v>1444.8155555555556</v>
      </c>
    </row>
    <row r="42" spans="1:16" x14ac:dyDescent="0.45">
      <c r="A42" s="2">
        <v>25</v>
      </c>
      <c r="B42" s="7">
        <v>0.55710000000000004</v>
      </c>
      <c r="C42" s="7">
        <v>0.50878888888888896</v>
      </c>
      <c r="D42" s="7">
        <v>4.8299999999999996E-2</v>
      </c>
      <c r="E42" s="4"/>
      <c r="F42" s="4"/>
      <c r="G42" s="4"/>
      <c r="H42" s="6">
        <v>25</v>
      </c>
      <c r="I42" s="5">
        <v>8425.3588888888899</v>
      </c>
      <c r="J42" s="5">
        <v>7273.2677777777781</v>
      </c>
      <c r="K42" s="5">
        <v>1152.0911111111109</v>
      </c>
      <c r="L42" s="5"/>
      <c r="M42" s="6">
        <v>25</v>
      </c>
      <c r="N42" s="5">
        <v>5117.4733333333334</v>
      </c>
      <c r="O42" s="5">
        <v>3965.3822222222225</v>
      </c>
      <c r="P42" s="5">
        <v>1152.0911111111109</v>
      </c>
    </row>
    <row r="43" spans="1:16" x14ac:dyDescent="0.45">
      <c r="A43" s="2">
        <v>45</v>
      </c>
      <c r="B43" s="7">
        <v>0.41851111111111111</v>
      </c>
      <c r="C43" s="7">
        <v>0.37542222222222221</v>
      </c>
      <c r="D43" s="7">
        <v>4.3077777777777777E-2</v>
      </c>
      <c r="E43" s="4"/>
      <c r="F43" s="4"/>
      <c r="G43" s="4"/>
      <c r="H43" s="6">
        <v>45</v>
      </c>
      <c r="I43" s="5">
        <v>10146.295555555555</v>
      </c>
      <c r="J43" s="5">
        <v>9134.9677777777761</v>
      </c>
      <c r="K43" s="5">
        <v>1011.3266666666665</v>
      </c>
      <c r="L43" s="5"/>
      <c r="M43" s="6">
        <v>45</v>
      </c>
      <c r="N43" s="5">
        <v>4701.5488888888895</v>
      </c>
      <c r="O43" s="5">
        <v>3690.2222222222222</v>
      </c>
      <c r="P43" s="5">
        <v>1011.3266666666665</v>
      </c>
    </row>
    <row r="44" spans="1:16" x14ac:dyDescent="0.45">
      <c r="A44" s="2">
        <v>60</v>
      </c>
      <c r="B44" s="7">
        <v>0.34951111111111116</v>
      </c>
      <c r="C44" s="7">
        <v>0.31221111111111116</v>
      </c>
      <c r="D44" s="7">
        <v>3.7288888888888892E-2</v>
      </c>
      <c r="E44" s="4"/>
      <c r="F44" s="4"/>
      <c r="G44" s="4"/>
      <c r="H44" s="6">
        <v>60</v>
      </c>
      <c r="I44" s="5">
        <v>11115.55111111111</v>
      </c>
      <c r="J44" s="5">
        <v>10247.995555555557</v>
      </c>
      <c r="K44" s="5">
        <v>867.55666666666673</v>
      </c>
      <c r="L44" s="5"/>
      <c r="M44" s="6">
        <v>60</v>
      </c>
      <c r="N44" s="5">
        <v>4328.6322222222225</v>
      </c>
      <c r="O44" s="5">
        <v>3461.0777777777785</v>
      </c>
      <c r="P44" s="5">
        <v>867.55666666666673</v>
      </c>
    </row>
    <row r="45" spans="1:16" x14ac:dyDescent="0.45">
      <c r="A45" s="2">
        <v>100</v>
      </c>
      <c r="B45" s="7">
        <v>0.2242666666666667</v>
      </c>
      <c r="C45" s="7">
        <v>0.20195555555555553</v>
      </c>
      <c r="D45" s="7">
        <v>2.2344444444444445E-2</v>
      </c>
      <c r="E45" s="4"/>
      <c r="F45" s="4"/>
      <c r="G45" s="4"/>
      <c r="H45" s="6">
        <v>100</v>
      </c>
      <c r="I45" s="5">
        <v>13136.752222222221</v>
      </c>
      <c r="J45" s="5">
        <v>12643.255555555555</v>
      </c>
      <c r="K45" s="5">
        <v>493.49666666666667</v>
      </c>
      <c r="L45" s="5"/>
      <c r="M45" s="6">
        <v>100</v>
      </c>
      <c r="N45" s="5">
        <v>3253.6666666666665</v>
      </c>
      <c r="O45" s="5">
        <v>2760.17</v>
      </c>
      <c r="P45" s="5">
        <v>493.49555555555554</v>
      </c>
    </row>
    <row r="46" spans="1:16" x14ac:dyDescent="0.45">
      <c r="A46" s="2" t="s">
        <v>16</v>
      </c>
      <c r="B46" s="7">
        <v>0.52125999999999995</v>
      </c>
      <c r="C46" s="7">
        <v>0.47505999999999993</v>
      </c>
      <c r="D46" s="7">
        <v>4.6203076923076923E-2</v>
      </c>
      <c r="E46" s="4"/>
      <c r="F46" s="4"/>
      <c r="G46" s="4"/>
      <c r="H46" s="6" t="s">
        <v>16</v>
      </c>
      <c r="I46" s="5">
        <v>8960.5656923076931</v>
      </c>
      <c r="J46" s="5">
        <v>7860.300923076923</v>
      </c>
      <c r="K46" s="5">
        <v>1100.2647692307692</v>
      </c>
      <c r="L46" s="5"/>
      <c r="M46" s="6" t="s">
        <v>16</v>
      </c>
      <c r="N46" s="5">
        <v>4598.8749230769226</v>
      </c>
      <c r="O46" s="5">
        <v>3498.6104615384615</v>
      </c>
      <c r="P46" s="5">
        <v>1100.2646153846154</v>
      </c>
    </row>
  </sheetData>
  <mergeCells count="1">
    <mergeCell ref="A1:R1"/>
  </mergeCells>
  <pageMargins left="0.7" right="0.7" top="0.75" bottom="0.75" header="0.3" footer="0.3"/>
  <pageSetup paperSize="9" scale="92" orientation="portrait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CC26D-CA73-41BE-9E13-E84EC35152EC}">
  <dimension ref="A1:N67"/>
  <sheetViews>
    <sheetView workbookViewId="0">
      <selection activeCell="A3" sqref="A3:N67"/>
    </sheetView>
  </sheetViews>
  <sheetFormatPr defaultRowHeight="14.25" x14ac:dyDescent="0.45"/>
  <cols>
    <col min="1" max="1" width="9.53125" bestFit="1" customWidth="1"/>
    <col min="2" max="2" width="8.73046875" bestFit="1" customWidth="1"/>
    <col min="3" max="3" width="18.9296875" bestFit="1" customWidth="1"/>
    <col min="4" max="4" width="15.86328125" bestFit="1" customWidth="1"/>
    <col min="5" max="5" width="20.59765625" bestFit="1" customWidth="1"/>
    <col min="6" max="6" width="13.19921875" bestFit="1" customWidth="1"/>
    <col min="7" max="7" width="18.73046875" bestFit="1" customWidth="1"/>
    <col min="8" max="8" width="15.6640625" bestFit="1" customWidth="1"/>
    <col min="9" max="9" width="17.1328125" bestFit="1" customWidth="1"/>
    <col min="10" max="10" width="9.3984375" bestFit="1" customWidth="1"/>
    <col min="11" max="11" width="18.3984375" bestFit="1" customWidth="1"/>
    <col min="12" max="12" width="15.33203125" bestFit="1" customWidth="1"/>
    <col min="13" max="13" width="16.3984375" bestFit="1" customWidth="1"/>
    <col min="14" max="14" width="9.06640625" bestFit="1" customWidth="1"/>
    <col min="15" max="24" width="11.19921875" bestFit="1" customWidth="1"/>
  </cols>
  <sheetData>
    <row r="1" spans="1:14" x14ac:dyDescent="0.45">
      <c r="A1" s="10"/>
      <c r="B1" s="9"/>
      <c r="C1" s="12" t="s">
        <v>25</v>
      </c>
      <c r="D1" s="13"/>
      <c r="E1" s="13"/>
      <c r="F1" s="14"/>
      <c r="G1" s="12" t="s">
        <v>26</v>
      </c>
      <c r="H1" s="13"/>
      <c r="I1" s="13"/>
      <c r="J1" s="14"/>
      <c r="K1" s="12" t="s">
        <v>27</v>
      </c>
      <c r="L1" s="13"/>
      <c r="M1" s="13"/>
      <c r="N1" s="14"/>
    </row>
    <row r="2" spans="1:14" x14ac:dyDescent="0.45">
      <c r="A2" t="s">
        <v>0</v>
      </c>
      <c r="B2" t="s">
        <v>1</v>
      </c>
      <c r="C2" t="s">
        <v>5</v>
      </c>
      <c r="D2" t="s">
        <v>6</v>
      </c>
      <c r="E2" t="s">
        <v>8</v>
      </c>
      <c r="F2" t="s">
        <v>19</v>
      </c>
      <c r="G2" t="s">
        <v>10</v>
      </c>
      <c r="H2" t="s">
        <v>11</v>
      </c>
      <c r="I2" t="s">
        <v>12</v>
      </c>
      <c r="J2" t="s">
        <v>20</v>
      </c>
      <c r="K2" t="s">
        <v>4</v>
      </c>
      <c r="L2" t="s">
        <v>3</v>
      </c>
      <c r="M2" t="s">
        <v>7</v>
      </c>
      <c r="N2" t="s">
        <v>21</v>
      </c>
    </row>
    <row r="3" spans="1:14" x14ac:dyDescent="0.45">
      <c r="A3">
        <v>5</v>
      </c>
      <c r="B3">
        <v>2</v>
      </c>
      <c r="C3">
        <v>3041.71</v>
      </c>
      <c r="D3">
        <v>2335.73</v>
      </c>
      <c r="E3">
        <v>0.23</v>
      </c>
      <c r="F3">
        <v>705.98</v>
      </c>
      <c r="G3">
        <v>2013.77</v>
      </c>
      <c r="H3">
        <v>1307.79</v>
      </c>
      <c r="I3">
        <v>0.35</v>
      </c>
      <c r="J3">
        <v>705.98</v>
      </c>
      <c r="K3">
        <v>0.65329999999999999</v>
      </c>
      <c r="L3">
        <v>0.55840000000000001</v>
      </c>
      <c r="M3">
        <v>0.1454</v>
      </c>
      <c r="N3">
        <v>9.5000000000000001E-2</v>
      </c>
    </row>
    <row r="4" spans="1:14" x14ac:dyDescent="0.45">
      <c r="A4">
        <v>5</v>
      </c>
      <c r="B4">
        <v>3</v>
      </c>
      <c r="C4">
        <v>3666.65</v>
      </c>
      <c r="D4">
        <v>2693.9</v>
      </c>
      <c r="E4">
        <v>0.27</v>
      </c>
      <c r="F4">
        <v>972.75</v>
      </c>
      <c r="G4">
        <v>3075.19</v>
      </c>
      <c r="H4">
        <v>2102.44</v>
      </c>
      <c r="I4">
        <v>0.32</v>
      </c>
      <c r="J4">
        <v>972.75</v>
      </c>
      <c r="K4">
        <v>0.83209999999999995</v>
      </c>
      <c r="L4">
        <v>0.78069999999999995</v>
      </c>
      <c r="M4">
        <v>6.1800000000000001E-2</v>
      </c>
      <c r="N4">
        <v>5.1400000000000001E-2</v>
      </c>
    </row>
    <row r="5" spans="1:14" x14ac:dyDescent="0.45">
      <c r="A5">
        <v>5</v>
      </c>
      <c r="B5">
        <v>4</v>
      </c>
      <c r="C5">
        <v>3636.59</v>
      </c>
      <c r="D5">
        <v>2695.04</v>
      </c>
      <c r="E5">
        <v>0.26</v>
      </c>
      <c r="F5">
        <v>941.54</v>
      </c>
      <c r="G5">
        <v>3048</v>
      </c>
      <c r="H5">
        <v>2106.4499999999998</v>
      </c>
      <c r="I5">
        <v>0.31</v>
      </c>
      <c r="J5">
        <v>941.54</v>
      </c>
      <c r="K5">
        <v>0.83120000000000005</v>
      </c>
      <c r="L5">
        <v>0.78200000000000003</v>
      </c>
      <c r="M5">
        <v>5.9200000000000003E-2</v>
      </c>
      <c r="N5">
        <v>4.9200000000000001E-2</v>
      </c>
    </row>
    <row r="6" spans="1:14" x14ac:dyDescent="0.45">
      <c r="A6">
        <v>10</v>
      </c>
      <c r="B6">
        <v>2</v>
      </c>
      <c r="C6">
        <v>3864.91</v>
      </c>
      <c r="D6">
        <v>3380.47</v>
      </c>
      <c r="E6">
        <v>0.13</v>
      </c>
      <c r="F6">
        <v>484.43</v>
      </c>
      <c r="G6">
        <v>1711.03</v>
      </c>
      <c r="H6">
        <v>1226.5899999999999</v>
      </c>
      <c r="I6">
        <v>0.28000000000000003</v>
      </c>
      <c r="J6">
        <v>484.43</v>
      </c>
      <c r="K6">
        <v>0.43619999999999998</v>
      </c>
      <c r="L6">
        <v>0.36230000000000001</v>
      </c>
      <c r="M6">
        <v>0.1694</v>
      </c>
      <c r="N6">
        <v>7.3899999999999993E-2</v>
      </c>
    </row>
    <row r="7" spans="1:14" x14ac:dyDescent="0.45">
      <c r="A7">
        <v>10</v>
      </c>
      <c r="B7">
        <v>3</v>
      </c>
      <c r="C7">
        <v>4502.7299999999996</v>
      </c>
      <c r="D7">
        <v>3824.26</v>
      </c>
      <c r="E7">
        <v>0.15</v>
      </c>
      <c r="F7">
        <v>678.47</v>
      </c>
      <c r="G7">
        <v>2701.92</v>
      </c>
      <c r="H7">
        <v>2023.45</v>
      </c>
      <c r="I7">
        <v>0.25</v>
      </c>
      <c r="J7">
        <v>678.47</v>
      </c>
      <c r="K7">
        <v>0.59240000000000004</v>
      </c>
      <c r="L7">
        <v>0.52700000000000002</v>
      </c>
      <c r="M7">
        <v>0.1103</v>
      </c>
      <c r="N7">
        <v>6.5299999999999997E-2</v>
      </c>
    </row>
    <row r="8" spans="1:14" x14ac:dyDescent="0.45">
      <c r="A8">
        <v>10</v>
      </c>
      <c r="B8">
        <v>4</v>
      </c>
      <c r="C8">
        <v>5233.2299999999996</v>
      </c>
      <c r="D8">
        <v>4357.51</v>
      </c>
      <c r="E8">
        <v>0.17</v>
      </c>
      <c r="F8">
        <v>875.73</v>
      </c>
      <c r="G8">
        <v>3748.05</v>
      </c>
      <c r="H8">
        <v>2872.32</v>
      </c>
      <c r="I8">
        <v>0.23</v>
      </c>
      <c r="J8">
        <v>875.73</v>
      </c>
      <c r="K8">
        <v>0.70830000000000004</v>
      </c>
      <c r="L8">
        <v>0.6573</v>
      </c>
      <c r="M8">
        <v>7.2099999999999997E-2</v>
      </c>
      <c r="N8">
        <v>5.0999999999999997E-2</v>
      </c>
    </row>
    <row r="9" spans="1:14" x14ac:dyDescent="0.45">
      <c r="A9">
        <v>10</v>
      </c>
      <c r="B9">
        <v>5</v>
      </c>
      <c r="C9">
        <v>6660.05</v>
      </c>
      <c r="D9">
        <v>4897.68</v>
      </c>
      <c r="E9">
        <v>0.26</v>
      </c>
      <c r="F9">
        <v>1762.37</v>
      </c>
      <c r="G9">
        <v>5537.78</v>
      </c>
      <c r="H9">
        <v>3775.41</v>
      </c>
      <c r="I9">
        <v>0.32</v>
      </c>
      <c r="J9">
        <v>1762.37</v>
      </c>
      <c r="K9">
        <v>0.82569999999999999</v>
      </c>
      <c r="L9">
        <v>0.76959999999999995</v>
      </c>
      <c r="M9">
        <v>6.8000000000000005E-2</v>
      </c>
      <c r="N9">
        <v>5.6099999999999997E-2</v>
      </c>
    </row>
    <row r="10" spans="1:14" x14ac:dyDescent="0.45">
      <c r="A10">
        <v>10</v>
      </c>
      <c r="B10">
        <v>6</v>
      </c>
      <c r="C10">
        <v>6652.8</v>
      </c>
      <c r="D10">
        <v>4904.17</v>
      </c>
      <c r="E10">
        <v>0.26</v>
      </c>
      <c r="F10">
        <v>1748.63</v>
      </c>
      <c r="G10">
        <v>5536.48</v>
      </c>
      <c r="H10">
        <v>3787.85</v>
      </c>
      <c r="I10">
        <v>0.32</v>
      </c>
      <c r="J10">
        <v>1748.63</v>
      </c>
      <c r="K10">
        <v>0.82620000000000005</v>
      </c>
      <c r="L10">
        <v>0.77139999999999997</v>
      </c>
      <c r="M10">
        <v>6.6400000000000001E-2</v>
      </c>
      <c r="N10">
        <v>5.4899999999999997E-2</v>
      </c>
    </row>
    <row r="11" spans="1:14" x14ac:dyDescent="0.45">
      <c r="A11">
        <v>10</v>
      </c>
      <c r="B11">
        <v>7</v>
      </c>
      <c r="C11">
        <v>6615.85</v>
      </c>
      <c r="D11">
        <v>4898.96</v>
      </c>
      <c r="E11">
        <v>0.26</v>
      </c>
      <c r="F11">
        <v>1716.89</v>
      </c>
      <c r="G11">
        <v>5497.43</v>
      </c>
      <c r="H11">
        <v>3780.54</v>
      </c>
      <c r="I11">
        <v>0.31</v>
      </c>
      <c r="J11">
        <v>1716.89</v>
      </c>
      <c r="K11">
        <v>0.82469999999999999</v>
      </c>
      <c r="L11">
        <v>0.77029999999999998</v>
      </c>
      <c r="M11">
        <v>6.6000000000000003E-2</v>
      </c>
      <c r="N11">
        <v>5.45E-2</v>
      </c>
    </row>
    <row r="12" spans="1:14" x14ac:dyDescent="0.45">
      <c r="A12">
        <v>10</v>
      </c>
      <c r="B12">
        <v>8</v>
      </c>
      <c r="C12">
        <v>6657.79</v>
      </c>
      <c r="D12">
        <v>4878.25</v>
      </c>
      <c r="E12">
        <v>0.27</v>
      </c>
      <c r="F12">
        <v>1779.54</v>
      </c>
      <c r="G12">
        <v>5541.22</v>
      </c>
      <c r="H12">
        <v>3761.67</v>
      </c>
      <c r="I12">
        <v>0.32</v>
      </c>
      <c r="J12">
        <v>1779.54</v>
      </c>
      <c r="K12">
        <v>0.82640000000000002</v>
      </c>
      <c r="L12">
        <v>0.76990000000000003</v>
      </c>
      <c r="M12">
        <v>6.8400000000000002E-2</v>
      </c>
      <c r="N12">
        <v>5.6500000000000002E-2</v>
      </c>
    </row>
    <row r="13" spans="1:14" x14ac:dyDescent="0.45">
      <c r="A13">
        <v>10</v>
      </c>
      <c r="B13">
        <v>9</v>
      </c>
      <c r="C13">
        <v>6663.26</v>
      </c>
      <c r="D13">
        <v>4857.3500000000004</v>
      </c>
      <c r="E13">
        <v>0.27</v>
      </c>
      <c r="F13">
        <v>1805.91</v>
      </c>
      <c r="G13">
        <v>5560.53</v>
      </c>
      <c r="H13">
        <v>3754.62</v>
      </c>
      <c r="I13">
        <v>0.32</v>
      </c>
      <c r="J13">
        <v>1805.91</v>
      </c>
      <c r="K13">
        <v>0.82840000000000003</v>
      </c>
      <c r="L13">
        <v>0.77139999999999997</v>
      </c>
      <c r="M13">
        <v>6.88E-2</v>
      </c>
      <c r="N13">
        <v>5.7000000000000002E-2</v>
      </c>
    </row>
    <row r="14" spans="1:14" x14ac:dyDescent="0.45">
      <c r="A14">
        <v>15</v>
      </c>
      <c r="B14">
        <v>2</v>
      </c>
      <c r="C14">
        <v>4291.32</v>
      </c>
      <c r="D14">
        <v>3960.42</v>
      </c>
      <c r="E14">
        <v>0.08</v>
      </c>
      <c r="F14">
        <v>330.9</v>
      </c>
      <c r="G14">
        <v>1399.64</v>
      </c>
      <c r="H14">
        <v>1068.75</v>
      </c>
      <c r="I14">
        <v>0.24</v>
      </c>
      <c r="J14">
        <v>330.9</v>
      </c>
      <c r="K14">
        <v>0.32229999999999998</v>
      </c>
      <c r="L14">
        <v>0.26900000000000002</v>
      </c>
      <c r="M14">
        <v>0.16539999999999999</v>
      </c>
      <c r="N14">
        <v>5.33E-2</v>
      </c>
    </row>
    <row r="15" spans="1:14" x14ac:dyDescent="0.45">
      <c r="A15">
        <v>15</v>
      </c>
      <c r="B15">
        <v>3</v>
      </c>
      <c r="C15">
        <v>5328.6</v>
      </c>
      <c r="D15">
        <v>4639.28</v>
      </c>
      <c r="E15">
        <v>0.13</v>
      </c>
      <c r="F15">
        <v>689.32</v>
      </c>
      <c r="G15">
        <v>2648.37</v>
      </c>
      <c r="H15">
        <v>1959.05</v>
      </c>
      <c r="I15">
        <v>0.26</v>
      </c>
      <c r="J15">
        <v>689.32</v>
      </c>
      <c r="K15">
        <v>0.4909</v>
      </c>
      <c r="L15">
        <v>0.42199999999999999</v>
      </c>
      <c r="M15">
        <v>0.14019999999999999</v>
      </c>
      <c r="N15">
        <v>6.88E-2</v>
      </c>
    </row>
    <row r="16" spans="1:14" x14ac:dyDescent="0.45">
      <c r="A16">
        <v>15</v>
      </c>
      <c r="B16">
        <v>4</v>
      </c>
      <c r="C16">
        <v>6093.07</v>
      </c>
      <c r="D16">
        <v>5128.2700000000004</v>
      </c>
      <c r="E16">
        <v>0.16</v>
      </c>
      <c r="F16">
        <v>964.8</v>
      </c>
      <c r="G16">
        <v>3742.77</v>
      </c>
      <c r="H16">
        <v>2777.97</v>
      </c>
      <c r="I16">
        <v>0.26</v>
      </c>
      <c r="J16">
        <v>964.8</v>
      </c>
      <c r="K16">
        <v>0.60719999999999996</v>
      </c>
      <c r="L16">
        <v>0.5413</v>
      </c>
      <c r="M16">
        <v>0.1086</v>
      </c>
      <c r="N16">
        <v>6.59E-2</v>
      </c>
    </row>
    <row r="17" spans="1:14" x14ac:dyDescent="0.45">
      <c r="A17">
        <v>15</v>
      </c>
      <c r="B17">
        <v>5</v>
      </c>
      <c r="C17">
        <v>7273.35</v>
      </c>
      <c r="D17">
        <v>5748.65</v>
      </c>
      <c r="E17">
        <v>0.21</v>
      </c>
      <c r="F17">
        <v>1524.7</v>
      </c>
      <c r="G17">
        <v>5256.38</v>
      </c>
      <c r="H17">
        <v>3731.68</v>
      </c>
      <c r="I17">
        <v>0.28999999999999998</v>
      </c>
      <c r="J17">
        <v>1524.7</v>
      </c>
      <c r="K17">
        <v>0.71519999999999995</v>
      </c>
      <c r="L17">
        <v>0.64859999999999995</v>
      </c>
      <c r="M17">
        <v>9.3200000000000005E-2</v>
      </c>
      <c r="N17">
        <v>6.6699999999999995E-2</v>
      </c>
    </row>
    <row r="18" spans="1:14" x14ac:dyDescent="0.45">
      <c r="A18">
        <v>15</v>
      </c>
      <c r="B18">
        <v>6</v>
      </c>
      <c r="C18">
        <v>7226.24</v>
      </c>
      <c r="D18">
        <v>5735.58</v>
      </c>
      <c r="E18">
        <v>0.21</v>
      </c>
      <c r="F18">
        <v>1490.66</v>
      </c>
      <c r="G18">
        <v>5189.91</v>
      </c>
      <c r="H18">
        <v>3699.25</v>
      </c>
      <c r="I18">
        <v>0.28999999999999998</v>
      </c>
      <c r="J18">
        <v>1490.66</v>
      </c>
      <c r="K18">
        <v>0.7107</v>
      </c>
      <c r="L18">
        <v>0.64419999999999999</v>
      </c>
      <c r="M18">
        <v>9.3700000000000006E-2</v>
      </c>
      <c r="N18">
        <v>6.6600000000000006E-2</v>
      </c>
    </row>
    <row r="19" spans="1:14" x14ac:dyDescent="0.45">
      <c r="A19">
        <v>15</v>
      </c>
      <c r="B19">
        <v>7</v>
      </c>
      <c r="C19">
        <v>7258.63</v>
      </c>
      <c r="D19">
        <v>5765.35</v>
      </c>
      <c r="E19">
        <v>0.21</v>
      </c>
      <c r="F19">
        <v>1493.28</v>
      </c>
      <c r="G19">
        <v>5216.8</v>
      </c>
      <c r="H19">
        <v>3723.52</v>
      </c>
      <c r="I19">
        <v>0.28999999999999998</v>
      </c>
      <c r="J19">
        <v>1493.28</v>
      </c>
      <c r="K19">
        <v>0.71150000000000002</v>
      </c>
      <c r="L19">
        <v>0.64539999999999997</v>
      </c>
      <c r="M19">
        <v>9.2999999999999999E-2</v>
      </c>
      <c r="N19">
        <v>6.6100000000000006E-2</v>
      </c>
    </row>
    <row r="20" spans="1:14" x14ac:dyDescent="0.45">
      <c r="A20">
        <v>15</v>
      </c>
      <c r="B20">
        <v>8</v>
      </c>
      <c r="C20">
        <v>9752.3700000000008</v>
      </c>
      <c r="D20">
        <v>7454.71</v>
      </c>
      <c r="E20">
        <v>0.24</v>
      </c>
      <c r="F20">
        <v>2297.65</v>
      </c>
      <c r="G20">
        <v>8553.89</v>
      </c>
      <c r="H20">
        <v>6256.24</v>
      </c>
      <c r="I20">
        <v>0.27</v>
      </c>
      <c r="J20">
        <v>2297.65</v>
      </c>
      <c r="K20">
        <v>0.87190000000000001</v>
      </c>
      <c r="L20">
        <v>0.83819999999999995</v>
      </c>
      <c r="M20">
        <v>3.8600000000000002E-2</v>
      </c>
      <c r="N20">
        <v>3.3599999999999998E-2</v>
      </c>
    </row>
    <row r="21" spans="1:14" x14ac:dyDescent="0.45">
      <c r="A21">
        <v>15</v>
      </c>
      <c r="B21">
        <v>9</v>
      </c>
      <c r="C21">
        <v>9743.2999999999993</v>
      </c>
      <c r="D21">
        <v>7446.06</v>
      </c>
      <c r="E21">
        <v>0.24</v>
      </c>
      <c r="F21">
        <v>2297.2399999999998</v>
      </c>
      <c r="G21">
        <v>8539.35</v>
      </c>
      <c r="H21">
        <v>6242.12</v>
      </c>
      <c r="I21">
        <v>0.27</v>
      </c>
      <c r="J21">
        <v>2297.2399999999998</v>
      </c>
      <c r="K21">
        <v>0.87190000000000001</v>
      </c>
      <c r="L21">
        <v>0.83750000000000002</v>
      </c>
      <c r="M21">
        <v>3.9399999999999998E-2</v>
      </c>
      <c r="N21">
        <v>3.44E-2</v>
      </c>
    </row>
    <row r="22" spans="1:14" x14ac:dyDescent="0.45">
      <c r="A22">
        <v>15</v>
      </c>
      <c r="B22">
        <v>10</v>
      </c>
      <c r="C22">
        <v>9629.2099999999991</v>
      </c>
      <c r="D22">
        <v>7396.38</v>
      </c>
      <c r="E22">
        <v>0.23</v>
      </c>
      <c r="F22">
        <v>2232.84</v>
      </c>
      <c r="G22">
        <v>8451.8700000000008</v>
      </c>
      <c r="H22">
        <v>6219.03</v>
      </c>
      <c r="I22">
        <v>0.26</v>
      </c>
      <c r="J22">
        <v>2232.84</v>
      </c>
      <c r="K22">
        <v>0.87319999999999998</v>
      </c>
      <c r="L22">
        <v>0.83989999999999998</v>
      </c>
      <c r="M22">
        <v>3.8199999999999998E-2</v>
      </c>
      <c r="N22">
        <v>3.3399999999999999E-2</v>
      </c>
    </row>
    <row r="23" spans="1:14" x14ac:dyDescent="0.45">
      <c r="A23">
        <v>20</v>
      </c>
      <c r="B23">
        <v>2</v>
      </c>
      <c r="C23">
        <v>4825.7</v>
      </c>
      <c r="D23">
        <v>4590.45</v>
      </c>
      <c r="E23">
        <v>0.05</v>
      </c>
      <c r="F23">
        <v>235.25</v>
      </c>
      <c r="G23">
        <v>1201.17</v>
      </c>
      <c r="H23">
        <v>965.92</v>
      </c>
      <c r="I23">
        <v>0.2</v>
      </c>
      <c r="J23">
        <v>235.25</v>
      </c>
      <c r="K23">
        <v>0.24809999999999999</v>
      </c>
      <c r="L23">
        <v>0.2104</v>
      </c>
      <c r="M23">
        <v>0.15179999999999999</v>
      </c>
      <c r="N23">
        <v>3.7699999999999997E-2</v>
      </c>
    </row>
    <row r="24" spans="1:14" x14ac:dyDescent="0.45">
      <c r="A24">
        <v>20</v>
      </c>
      <c r="B24">
        <v>3</v>
      </c>
      <c r="C24">
        <v>5644.61</v>
      </c>
      <c r="D24">
        <v>5129.42</v>
      </c>
      <c r="E24">
        <v>0.09</v>
      </c>
      <c r="F24">
        <v>515.19000000000005</v>
      </c>
      <c r="G24">
        <v>2300.04</v>
      </c>
      <c r="H24">
        <v>1784.86</v>
      </c>
      <c r="I24">
        <v>0.22</v>
      </c>
      <c r="J24">
        <v>515.19000000000005</v>
      </c>
      <c r="K24">
        <v>0.40289999999999998</v>
      </c>
      <c r="L24">
        <v>0.34810000000000002</v>
      </c>
      <c r="M24">
        <v>0.13600000000000001</v>
      </c>
      <c r="N24">
        <v>5.4800000000000001E-2</v>
      </c>
    </row>
    <row r="25" spans="1:14" x14ac:dyDescent="0.45">
      <c r="A25">
        <v>20</v>
      </c>
      <c r="B25">
        <v>4</v>
      </c>
      <c r="C25">
        <v>6619.53</v>
      </c>
      <c r="D25">
        <v>5738.27</v>
      </c>
      <c r="E25">
        <v>0.13</v>
      </c>
      <c r="F25">
        <v>881.26</v>
      </c>
      <c r="G25">
        <v>3528.68</v>
      </c>
      <c r="H25">
        <v>2647.42</v>
      </c>
      <c r="I25">
        <v>0.25</v>
      </c>
      <c r="J25">
        <v>881.26</v>
      </c>
      <c r="K25">
        <v>0.52610000000000001</v>
      </c>
      <c r="L25">
        <v>0.46110000000000001</v>
      </c>
      <c r="M25">
        <v>0.1235</v>
      </c>
      <c r="N25">
        <v>6.5000000000000002E-2</v>
      </c>
    </row>
    <row r="26" spans="1:14" x14ac:dyDescent="0.45">
      <c r="A26">
        <v>20</v>
      </c>
      <c r="B26">
        <v>5</v>
      </c>
      <c r="C26">
        <v>7690.69</v>
      </c>
      <c r="D26">
        <v>6392.53</v>
      </c>
      <c r="E26">
        <v>0.17</v>
      </c>
      <c r="F26">
        <v>1298.1600000000001</v>
      </c>
      <c r="G26">
        <v>4879.18</v>
      </c>
      <c r="H26">
        <v>3581.01</v>
      </c>
      <c r="I26">
        <v>0.27</v>
      </c>
      <c r="J26">
        <v>1298.1600000000001</v>
      </c>
      <c r="K26">
        <v>0.62709999999999999</v>
      </c>
      <c r="L26">
        <v>0.5595</v>
      </c>
      <c r="M26">
        <v>0.10780000000000001</v>
      </c>
      <c r="N26">
        <v>6.7599999999999993E-2</v>
      </c>
    </row>
    <row r="27" spans="1:14" x14ac:dyDescent="0.45">
      <c r="A27">
        <v>20</v>
      </c>
      <c r="B27">
        <v>6</v>
      </c>
      <c r="C27">
        <v>7672.43</v>
      </c>
      <c r="D27">
        <v>6393.09</v>
      </c>
      <c r="E27">
        <v>0.17</v>
      </c>
      <c r="F27">
        <v>1279.3399999999999</v>
      </c>
      <c r="G27">
        <v>4860.99</v>
      </c>
      <c r="H27">
        <v>3581.66</v>
      </c>
      <c r="I27">
        <v>0.26</v>
      </c>
      <c r="J27">
        <v>1279.3399999999999</v>
      </c>
      <c r="K27">
        <v>0.62690000000000001</v>
      </c>
      <c r="L27">
        <v>0.55989999999999995</v>
      </c>
      <c r="M27">
        <v>0.10680000000000001</v>
      </c>
      <c r="N27">
        <v>6.6900000000000001E-2</v>
      </c>
    </row>
    <row r="28" spans="1:14" x14ac:dyDescent="0.45">
      <c r="A28">
        <v>20</v>
      </c>
      <c r="B28">
        <v>7</v>
      </c>
      <c r="C28">
        <v>9297.86</v>
      </c>
      <c r="D28">
        <v>7508.29</v>
      </c>
      <c r="E28">
        <v>0.19</v>
      </c>
      <c r="F28">
        <v>1789.58</v>
      </c>
      <c r="G28">
        <v>7065.7</v>
      </c>
      <c r="H28">
        <v>5276.13</v>
      </c>
      <c r="I28">
        <v>0.25</v>
      </c>
      <c r="J28">
        <v>1789.58</v>
      </c>
      <c r="K28">
        <v>0.75360000000000005</v>
      </c>
      <c r="L28">
        <v>0.70199999999999996</v>
      </c>
      <c r="M28">
        <v>6.8400000000000002E-2</v>
      </c>
      <c r="N28">
        <v>5.1499999999999997E-2</v>
      </c>
    </row>
    <row r="29" spans="1:14" x14ac:dyDescent="0.45">
      <c r="A29">
        <v>20</v>
      </c>
      <c r="B29">
        <v>8</v>
      </c>
      <c r="C29">
        <v>9498.25</v>
      </c>
      <c r="D29">
        <v>7532.05</v>
      </c>
      <c r="E29">
        <v>0.21</v>
      </c>
      <c r="F29">
        <v>1966.19</v>
      </c>
      <c r="G29">
        <v>7268.34</v>
      </c>
      <c r="H29">
        <v>5302.14</v>
      </c>
      <c r="I29">
        <v>0.27</v>
      </c>
      <c r="J29">
        <v>1966.19</v>
      </c>
      <c r="K29">
        <v>0.7591</v>
      </c>
      <c r="L29">
        <v>0.70320000000000005</v>
      </c>
      <c r="M29">
        <v>7.3599999999999999E-2</v>
      </c>
      <c r="N29">
        <v>5.5899999999999998E-2</v>
      </c>
    </row>
    <row r="30" spans="1:14" x14ac:dyDescent="0.45">
      <c r="A30">
        <v>20</v>
      </c>
      <c r="B30">
        <v>9</v>
      </c>
      <c r="C30">
        <v>9498.26</v>
      </c>
      <c r="D30">
        <v>7570.27</v>
      </c>
      <c r="E30">
        <v>0.2</v>
      </c>
      <c r="F30">
        <v>1928</v>
      </c>
      <c r="G30">
        <v>7277.17</v>
      </c>
      <c r="H30">
        <v>5349.17</v>
      </c>
      <c r="I30">
        <v>0.26</v>
      </c>
      <c r="J30">
        <v>1928</v>
      </c>
      <c r="K30">
        <v>0.75990000000000002</v>
      </c>
      <c r="L30">
        <v>0.70579999999999998</v>
      </c>
      <c r="M30">
        <v>7.1199999999999999E-2</v>
      </c>
      <c r="N30">
        <v>5.4100000000000002E-2</v>
      </c>
    </row>
    <row r="31" spans="1:14" x14ac:dyDescent="0.45">
      <c r="A31">
        <v>20</v>
      </c>
      <c r="B31">
        <v>10</v>
      </c>
      <c r="C31">
        <v>12482.16</v>
      </c>
      <c r="D31">
        <v>9371.7900000000009</v>
      </c>
      <c r="E31">
        <v>0.25</v>
      </c>
      <c r="F31">
        <v>3110.37</v>
      </c>
      <c r="G31">
        <v>10963.33</v>
      </c>
      <c r="H31">
        <v>7852.96</v>
      </c>
      <c r="I31">
        <v>0.28000000000000003</v>
      </c>
      <c r="J31">
        <v>3110.37</v>
      </c>
      <c r="K31">
        <v>0.874</v>
      </c>
      <c r="L31">
        <v>0.83709999999999996</v>
      </c>
      <c r="M31">
        <v>4.2299999999999997E-2</v>
      </c>
      <c r="N31">
        <v>3.6999999999999998E-2</v>
      </c>
    </row>
    <row r="32" spans="1:14" x14ac:dyDescent="0.45">
      <c r="A32">
        <v>25</v>
      </c>
      <c r="B32">
        <v>2</v>
      </c>
      <c r="C32">
        <v>5317.08</v>
      </c>
      <c r="D32">
        <v>5162.04</v>
      </c>
      <c r="E32">
        <v>0.03</v>
      </c>
      <c r="F32">
        <v>155.04</v>
      </c>
      <c r="G32">
        <v>1039.06</v>
      </c>
      <c r="H32">
        <v>884.02</v>
      </c>
      <c r="I32">
        <v>0.15</v>
      </c>
      <c r="J32">
        <v>155.04</v>
      </c>
      <c r="K32">
        <v>0.1956</v>
      </c>
      <c r="L32">
        <v>0.17150000000000001</v>
      </c>
      <c r="M32">
        <v>0.123</v>
      </c>
      <c r="N32">
        <v>2.41E-2</v>
      </c>
    </row>
    <row r="33" spans="1:14" x14ac:dyDescent="0.45">
      <c r="A33">
        <v>25</v>
      </c>
      <c r="B33">
        <v>3</v>
      </c>
      <c r="C33">
        <v>6002.26</v>
      </c>
      <c r="D33">
        <v>5559.57</v>
      </c>
      <c r="E33">
        <v>7.0000000000000007E-2</v>
      </c>
      <c r="F33">
        <v>442.69</v>
      </c>
      <c r="G33">
        <v>2075.6999999999998</v>
      </c>
      <c r="H33">
        <v>1633.01</v>
      </c>
      <c r="I33">
        <v>0.21</v>
      </c>
      <c r="J33">
        <v>442.69</v>
      </c>
      <c r="K33">
        <v>0.34179999999999999</v>
      </c>
      <c r="L33">
        <v>0.29339999999999999</v>
      </c>
      <c r="M33">
        <v>0.1416</v>
      </c>
      <c r="N33">
        <v>4.8399999999999999E-2</v>
      </c>
    </row>
    <row r="34" spans="1:14" x14ac:dyDescent="0.45">
      <c r="A34">
        <v>25</v>
      </c>
      <c r="B34">
        <v>4</v>
      </c>
      <c r="C34">
        <v>6762.3</v>
      </c>
      <c r="D34">
        <v>6121.47</v>
      </c>
      <c r="E34">
        <v>0.09</v>
      </c>
      <c r="F34">
        <v>640.83000000000004</v>
      </c>
      <c r="G34">
        <v>3066.94</v>
      </c>
      <c r="H34">
        <v>2426.11</v>
      </c>
      <c r="I34">
        <v>0.21</v>
      </c>
      <c r="J34">
        <v>640.83000000000004</v>
      </c>
      <c r="K34">
        <v>0.44879999999999998</v>
      </c>
      <c r="L34">
        <v>0.39589999999999997</v>
      </c>
      <c r="M34">
        <v>0.1177</v>
      </c>
      <c r="N34">
        <v>5.28E-2</v>
      </c>
    </row>
    <row r="35" spans="1:14" x14ac:dyDescent="0.45">
      <c r="A35">
        <v>25</v>
      </c>
      <c r="B35">
        <v>5</v>
      </c>
      <c r="C35">
        <v>8080.98</v>
      </c>
      <c r="D35">
        <v>6932.22</v>
      </c>
      <c r="E35">
        <v>0.14000000000000001</v>
      </c>
      <c r="F35">
        <v>1148.76</v>
      </c>
      <c r="G35">
        <v>4589.62</v>
      </c>
      <c r="H35">
        <v>3440.86</v>
      </c>
      <c r="I35">
        <v>0.25</v>
      </c>
      <c r="J35">
        <v>1148.76</v>
      </c>
      <c r="K35">
        <v>0.56120000000000003</v>
      </c>
      <c r="L35">
        <v>0.49609999999999999</v>
      </c>
      <c r="M35">
        <v>0.11600000000000001</v>
      </c>
      <c r="N35">
        <v>6.5100000000000005E-2</v>
      </c>
    </row>
    <row r="36" spans="1:14" x14ac:dyDescent="0.45">
      <c r="A36">
        <v>25</v>
      </c>
      <c r="B36">
        <v>6</v>
      </c>
      <c r="C36">
        <v>8016.71</v>
      </c>
      <c r="D36">
        <v>6897.62</v>
      </c>
      <c r="E36">
        <v>0.14000000000000001</v>
      </c>
      <c r="F36">
        <v>1119.0899999999999</v>
      </c>
      <c r="G36">
        <v>4539.53</v>
      </c>
      <c r="H36">
        <v>3420.44</v>
      </c>
      <c r="I36">
        <v>0.25</v>
      </c>
      <c r="J36">
        <v>1119.0899999999999</v>
      </c>
      <c r="K36">
        <v>0.55879999999999996</v>
      </c>
      <c r="L36">
        <v>0.4955</v>
      </c>
      <c r="M36">
        <v>0.1134</v>
      </c>
      <c r="N36">
        <v>6.3399999999999998E-2</v>
      </c>
    </row>
    <row r="37" spans="1:14" x14ac:dyDescent="0.45">
      <c r="A37">
        <v>25</v>
      </c>
      <c r="B37">
        <v>7</v>
      </c>
      <c r="C37">
        <v>9421.5499999999993</v>
      </c>
      <c r="D37">
        <v>8052.57</v>
      </c>
      <c r="E37">
        <v>0.15</v>
      </c>
      <c r="F37">
        <v>1368.98</v>
      </c>
      <c r="G37">
        <v>6438.84</v>
      </c>
      <c r="H37">
        <v>5069.8599999999997</v>
      </c>
      <c r="I37">
        <v>0.21</v>
      </c>
      <c r="J37">
        <v>1368.98</v>
      </c>
      <c r="K37">
        <v>0.6764</v>
      </c>
      <c r="L37">
        <v>0.62839999999999996</v>
      </c>
      <c r="M37">
        <v>7.0900000000000005E-2</v>
      </c>
      <c r="N37">
        <v>4.8000000000000001E-2</v>
      </c>
    </row>
    <row r="38" spans="1:14" x14ac:dyDescent="0.45">
      <c r="A38">
        <v>25</v>
      </c>
      <c r="B38">
        <v>8</v>
      </c>
      <c r="C38">
        <v>9375.15</v>
      </c>
      <c r="D38">
        <v>8047.49</v>
      </c>
      <c r="E38">
        <v>0.14000000000000001</v>
      </c>
      <c r="F38">
        <v>1327.66</v>
      </c>
      <c r="G38">
        <v>6381.54</v>
      </c>
      <c r="H38">
        <v>5053.88</v>
      </c>
      <c r="I38">
        <v>0.21</v>
      </c>
      <c r="J38">
        <v>1327.66</v>
      </c>
      <c r="K38">
        <v>0.67379999999999995</v>
      </c>
      <c r="L38">
        <v>0.627</v>
      </c>
      <c r="M38">
        <v>6.9400000000000003E-2</v>
      </c>
      <c r="N38">
        <v>4.6800000000000001E-2</v>
      </c>
    </row>
    <row r="39" spans="1:14" x14ac:dyDescent="0.45">
      <c r="A39">
        <v>25</v>
      </c>
      <c r="B39">
        <v>9</v>
      </c>
      <c r="C39">
        <v>11381.86</v>
      </c>
      <c r="D39">
        <v>9339.56</v>
      </c>
      <c r="E39">
        <v>0.18</v>
      </c>
      <c r="F39">
        <v>2042.3</v>
      </c>
      <c r="G39">
        <v>8916.0400000000009</v>
      </c>
      <c r="H39">
        <v>6873.74</v>
      </c>
      <c r="I39">
        <v>0.23</v>
      </c>
      <c r="J39">
        <v>2042.3</v>
      </c>
      <c r="K39">
        <v>0.77790000000000004</v>
      </c>
      <c r="L39">
        <v>0.73529999999999995</v>
      </c>
      <c r="M39">
        <v>5.4699999999999999E-2</v>
      </c>
      <c r="N39">
        <v>4.2500000000000003E-2</v>
      </c>
    </row>
    <row r="40" spans="1:14" x14ac:dyDescent="0.45">
      <c r="A40">
        <v>25</v>
      </c>
      <c r="B40">
        <v>10</v>
      </c>
      <c r="C40">
        <v>11470.34</v>
      </c>
      <c r="D40">
        <v>9346.8700000000008</v>
      </c>
      <c r="E40">
        <v>0.19</v>
      </c>
      <c r="F40">
        <v>2123.4699999999998</v>
      </c>
      <c r="G40">
        <v>9009.99</v>
      </c>
      <c r="H40">
        <v>6886.52</v>
      </c>
      <c r="I40">
        <v>0.24</v>
      </c>
      <c r="J40">
        <v>2123.4699999999998</v>
      </c>
      <c r="K40">
        <v>0.77959999999999996</v>
      </c>
      <c r="L40">
        <v>0.73599999999999999</v>
      </c>
      <c r="M40">
        <v>5.5899999999999998E-2</v>
      </c>
      <c r="N40">
        <v>4.36E-2</v>
      </c>
    </row>
    <row r="41" spans="1:14" x14ac:dyDescent="0.45">
      <c r="A41">
        <v>45</v>
      </c>
      <c r="B41">
        <v>2</v>
      </c>
      <c r="C41">
        <v>6578.52</v>
      </c>
      <c r="D41">
        <v>6500.57</v>
      </c>
      <c r="E41">
        <v>0.01</v>
      </c>
      <c r="F41">
        <v>77.95</v>
      </c>
      <c r="G41">
        <v>682.46</v>
      </c>
      <c r="H41">
        <v>604.51</v>
      </c>
      <c r="I41">
        <v>0.11</v>
      </c>
      <c r="J41">
        <v>77.95</v>
      </c>
      <c r="K41">
        <v>0.1037</v>
      </c>
      <c r="L41">
        <v>9.2999999999999999E-2</v>
      </c>
      <c r="M41">
        <v>0.1026</v>
      </c>
      <c r="N41">
        <v>1.06E-2</v>
      </c>
    </row>
    <row r="42" spans="1:14" x14ac:dyDescent="0.45">
      <c r="A42">
        <v>45</v>
      </c>
      <c r="B42">
        <v>3</v>
      </c>
      <c r="C42">
        <v>7717.21</v>
      </c>
      <c r="D42">
        <v>7541.83</v>
      </c>
      <c r="E42">
        <v>0.02</v>
      </c>
      <c r="F42">
        <v>175.38</v>
      </c>
      <c r="G42">
        <v>1438.43</v>
      </c>
      <c r="H42">
        <v>1263.05</v>
      </c>
      <c r="I42">
        <v>0.12</v>
      </c>
      <c r="J42">
        <v>175.38</v>
      </c>
      <c r="K42">
        <v>0.1865</v>
      </c>
      <c r="L42">
        <v>0.16789999999999999</v>
      </c>
      <c r="M42">
        <v>9.9599999999999994E-2</v>
      </c>
      <c r="N42">
        <v>1.8599999999999998E-2</v>
      </c>
    </row>
    <row r="43" spans="1:14" x14ac:dyDescent="0.45">
      <c r="A43">
        <v>45</v>
      </c>
      <c r="B43">
        <v>4</v>
      </c>
      <c r="C43">
        <v>8295.06</v>
      </c>
      <c r="D43">
        <v>7885.09</v>
      </c>
      <c r="E43">
        <v>0.05</v>
      </c>
      <c r="F43">
        <v>409.97</v>
      </c>
      <c r="G43">
        <v>2387.81</v>
      </c>
      <c r="H43">
        <v>1977.84</v>
      </c>
      <c r="I43">
        <v>0.17</v>
      </c>
      <c r="J43">
        <v>409.97</v>
      </c>
      <c r="K43">
        <v>0.28599999999999998</v>
      </c>
      <c r="L43">
        <v>0.251</v>
      </c>
      <c r="M43">
        <v>0.12239999999999999</v>
      </c>
      <c r="N43">
        <v>3.5000000000000003E-2</v>
      </c>
    </row>
    <row r="44" spans="1:14" x14ac:dyDescent="0.45">
      <c r="A44">
        <v>45</v>
      </c>
      <c r="B44">
        <v>5</v>
      </c>
      <c r="C44">
        <v>9236.56</v>
      </c>
      <c r="D44">
        <v>8536.7999999999993</v>
      </c>
      <c r="E44">
        <v>0.08</v>
      </c>
      <c r="F44">
        <v>699.76</v>
      </c>
      <c r="G44">
        <v>3550.53</v>
      </c>
      <c r="H44">
        <v>2850.77</v>
      </c>
      <c r="I44">
        <v>0.2</v>
      </c>
      <c r="J44">
        <v>699.76</v>
      </c>
      <c r="K44">
        <v>0.38059999999999999</v>
      </c>
      <c r="L44">
        <v>0.33389999999999997</v>
      </c>
      <c r="M44">
        <v>0.12280000000000001</v>
      </c>
      <c r="N44">
        <v>4.6699999999999998E-2</v>
      </c>
    </row>
    <row r="45" spans="1:14" x14ac:dyDescent="0.45">
      <c r="A45">
        <v>45</v>
      </c>
      <c r="B45">
        <v>6</v>
      </c>
      <c r="C45">
        <v>10094.16</v>
      </c>
      <c r="D45">
        <v>9144.39</v>
      </c>
      <c r="E45">
        <v>0.09</v>
      </c>
      <c r="F45">
        <v>949.76</v>
      </c>
      <c r="G45">
        <v>4639.3999999999996</v>
      </c>
      <c r="H45">
        <v>3689.64</v>
      </c>
      <c r="I45">
        <v>0.2</v>
      </c>
      <c r="J45">
        <v>949.76</v>
      </c>
      <c r="K45">
        <v>0.45469999999999999</v>
      </c>
      <c r="L45">
        <v>0.40329999999999999</v>
      </c>
      <c r="M45">
        <v>0.113</v>
      </c>
      <c r="N45">
        <v>5.1400000000000001E-2</v>
      </c>
    </row>
    <row r="46" spans="1:14" x14ac:dyDescent="0.45">
      <c r="A46">
        <v>45</v>
      </c>
      <c r="B46">
        <v>7</v>
      </c>
      <c r="C46">
        <v>10818.71</v>
      </c>
      <c r="D46">
        <v>9721.65</v>
      </c>
      <c r="E46">
        <v>0.1</v>
      </c>
      <c r="F46">
        <v>1097.06</v>
      </c>
      <c r="G46">
        <v>5573.09</v>
      </c>
      <c r="H46">
        <v>4476.03</v>
      </c>
      <c r="I46">
        <v>0.2</v>
      </c>
      <c r="J46">
        <v>1097.06</v>
      </c>
      <c r="K46">
        <v>0.50929999999999997</v>
      </c>
      <c r="L46">
        <v>0.4597</v>
      </c>
      <c r="M46">
        <v>9.74E-2</v>
      </c>
      <c r="N46">
        <v>4.9599999999999998E-2</v>
      </c>
    </row>
    <row r="47" spans="1:14" x14ac:dyDescent="0.45">
      <c r="A47">
        <v>45</v>
      </c>
      <c r="B47">
        <v>8</v>
      </c>
      <c r="C47">
        <v>11877.78</v>
      </c>
      <c r="D47">
        <v>10388.35</v>
      </c>
      <c r="E47">
        <v>0.13</v>
      </c>
      <c r="F47">
        <v>1489.43</v>
      </c>
      <c r="G47">
        <v>6902.54</v>
      </c>
      <c r="H47">
        <v>5413.11</v>
      </c>
      <c r="I47">
        <v>0.22</v>
      </c>
      <c r="J47">
        <v>1489.43</v>
      </c>
      <c r="K47">
        <v>0.57489999999999997</v>
      </c>
      <c r="L47">
        <v>0.52049999999999996</v>
      </c>
      <c r="M47">
        <v>9.4600000000000004E-2</v>
      </c>
      <c r="N47">
        <v>5.4399999999999997E-2</v>
      </c>
    </row>
    <row r="48" spans="1:14" x14ac:dyDescent="0.45">
      <c r="A48">
        <v>45</v>
      </c>
      <c r="B48">
        <v>9</v>
      </c>
      <c r="C48">
        <v>13305.72</v>
      </c>
      <c r="D48">
        <v>11227.05</v>
      </c>
      <c r="E48">
        <v>0.16</v>
      </c>
      <c r="F48">
        <v>2078.67</v>
      </c>
      <c r="G48">
        <v>8527.85</v>
      </c>
      <c r="H48">
        <v>6449.18</v>
      </c>
      <c r="I48">
        <v>0.24</v>
      </c>
      <c r="J48">
        <v>2078.67</v>
      </c>
      <c r="K48">
        <v>0.63439999999999996</v>
      </c>
      <c r="L48">
        <v>0.57410000000000005</v>
      </c>
      <c r="M48">
        <v>9.5000000000000001E-2</v>
      </c>
      <c r="N48">
        <v>6.0299999999999999E-2</v>
      </c>
    </row>
    <row r="49" spans="1:14" x14ac:dyDescent="0.45">
      <c r="A49">
        <v>45</v>
      </c>
      <c r="B49">
        <v>10</v>
      </c>
      <c r="C49">
        <v>13392.94</v>
      </c>
      <c r="D49">
        <v>11268.98</v>
      </c>
      <c r="E49">
        <v>0.16</v>
      </c>
      <c r="F49">
        <v>2123.96</v>
      </c>
      <c r="G49">
        <v>8611.83</v>
      </c>
      <c r="H49">
        <v>6487.87</v>
      </c>
      <c r="I49">
        <v>0.25</v>
      </c>
      <c r="J49">
        <v>2123.96</v>
      </c>
      <c r="K49">
        <v>0.63649999999999995</v>
      </c>
      <c r="L49">
        <v>0.57540000000000002</v>
      </c>
      <c r="M49">
        <v>9.6000000000000002E-2</v>
      </c>
      <c r="N49">
        <v>6.1100000000000002E-2</v>
      </c>
    </row>
    <row r="50" spans="1:14" x14ac:dyDescent="0.45">
      <c r="A50">
        <v>60</v>
      </c>
      <c r="B50">
        <v>2</v>
      </c>
      <c r="C50">
        <v>7243.88</v>
      </c>
      <c r="D50">
        <v>7173.54</v>
      </c>
      <c r="E50">
        <v>0.01</v>
      </c>
      <c r="F50">
        <v>70.349999999999994</v>
      </c>
      <c r="G50">
        <v>572.14</v>
      </c>
      <c r="H50">
        <v>501.8</v>
      </c>
      <c r="I50">
        <v>0.12</v>
      </c>
      <c r="J50">
        <v>70.349999999999994</v>
      </c>
      <c r="K50">
        <v>7.8899999999999998E-2</v>
      </c>
      <c r="L50">
        <v>7.0000000000000007E-2</v>
      </c>
      <c r="M50">
        <v>0.1133</v>
      </c>
      <c r="N50">
        <v>8.8999999999999999E-3</v>
      </c>
    </row>
    <row r="51" spans="1:14" x14ac:dyDescent="0.45">
      <c r="A51">
        <v>60</v>
      </c>
      <c r="B51">
        <v>3</v>
      </c>
      <c r="C51">
        <v>8667.7800000000007</v>
      </c>
      <c r="D51">
        <v>8551.2099999999991</v>
      </c>
      <c r="E51">
        <v>0.01</v>
      </c>
      <c r="F51">
        <v>116.58</v>
      </c>
      <c r="G51">
        <v>1158.8399999999999</v>
      </c>
      <c r="H51">
        <v>1042.27</v>
      </c>
      <c r="I51">
        <v>0.1</v>
      </c>
      <c r="J51">
        <v>116.58</v>
      </c>
      <c r="K51">
        <v>0.1338</v>
      </c>
      <c r="L51">
        <v>0.1222</v>
      </c>
      <c r="M51">
        <v>8.6699999999999999E-2</v>
      </c>
      <c r="N51">
        <v>1.1599999999999999E-2</v>
      </c>
    </row>
    <row r="52" spans="1:14" x14ac:dyDescent="0.45">
      <c r="A52">
        <v>60</v>
      </c>
      <c r="B52">
        <v>4</v>
      </c>
      <c r="C52">
        <v>9523.35</v>
      </c>
      <c r="D52">
        <v>9272.58</v>
      </c>
      <c r="E52">
        <v>0.03</v>
      </c>
      <c r="F52">
        <v>250.76</v>
      </c>
      <c r="G52">
        <v>1985.17</v>
      </c>
      <c r="H52">
        <v>1734.41</v>
      </c>
      <c r="I52">
        <v>0.13</v>
      </c>
      <c r="J52">
        <v>250.76</v>
      </c>
      <c r="K52">
        <v>0.20849999999999999</v>
      </c>
      <c r="L52">
        <v>0.18770000000000001</v>
      </c>
      <c r="M52">
        <v>9.9699999999999997E-2</v>
      </c>
      <c r="N52">
        <v>2.0799999999999999E-2</v>
      </c>
    </row>
    <row r="53" spans="1:14" x14ac:dyDescent="0.45">
      <c r="A53">
        <v>60</v>
      </c>
      <c r="B53">
        <v>5</v>
      </c>
      <c r="C53">
        <v>10186.76</v>
      </c>
      <c r="D53">
        <v>9675.7199999999993</v>
      </c>
      <c r="E53">
        <v>0.05</v>
      </c>
      <c r="F53">
        <v>511.04</v>
      </c>
      <c r="G53">
        <v>3027.52</v>
      </c>
      <c r="H53">
        <v>2516.48</v>
      </c>
      <c r="I53">
        <v>0.17</v>
      </c>
      <c r="J53">
        <v>511.04</v>
      </c>
      <c r="K53">
        <v>0.29570000000000002</v>
      </c>
      <c r="L53">
        <v>0.26050000000000001</v>
      </c>
      <c r="M53">
        <v>0.1188</v>
      </c>
      <c r="N53">
        <v>3.5099999999999999E-2</v>
      </c>
    </row>
    <row r="54" spans="1:14" x14ac:dyDescent="0.45">
      <c r="A54">
        <v>60</v>
      </c>
      <c r="B54">
        <v>6</v>
      </c>
      <c r="C54">
        <v>11023.57</v>
      </c>
      <c r="D54">
        <v>10249.86</v>
      </c>
      <c r="E54">
        <v>7.0000000000000007E-2</v>
      </c>
      <c r="F54">
        <v>773.72</v>
      </c>
      <c r="G54">
        <v>4087.37</v>
      </c>
      <c r="H54">
        <v>3313.65</v>
      </c>
      <c r="I54">
        <v>0.19</v>
      </c>
      <c r="J54">
        <v>773.72</v>
      </c>
      <c r="K54">
        <v>0.36780000000000002</v>
      </c>
      <c r="L54">
        <v>0.32379999999999998</v>
      </c>
      <c r="M54">
        <v>0.1196</v>
      </c>
      <c r="N54">
        <v>4.3999999999999997E-2</v>
      </c>
    </row>
    <row r="55" spans="1:14" x14ac:dyDescent="0.45">
      <c r="A55">
        <v>60</v>
      </c>
      <c r="B55">
        <v>7</v>
      </c>
      <c r="C55">
        <v>11769.62</v>
      </c>
      <c r="D55">
        <v>10736.7</v>
      </c>
      <c r="E55">
        <v>0.09</v>
      </c>
      <c r="F55">
        <v>1032.92</v>
      </c>
      <c r="G55">
        <v>5168.8500000000004</v>
      </c>
      <c r="H55">
        <v>4135.93</v>
      </c>
      <c r="I55">
        <v>0.2</v>
      </c>
      <c r="J55">
        <v>1032.92</v>
      </c>
      <c r="K55">
        <v>0.4345</v>
      </c>
      <c r="L55">
        <v>0.38490000000000002</v>
      </c>
      <c r="M55">
        <v>0.11409999999999999</v>
      </c>
      <c r="N55">
        <v>4.9599999999999998E-2</v>
      </c>
    </row>
    <row r="56" spans="1:14" x14ac:dyDescent="0.45">
      <c r="A56">
        <v>60</v>
      </c>
      <c r="B56">
        <v>8</v>
      </c>
      <c r="C56">
        <v>12680.56</v>
      </c>
      <c r="D56">
        <v>11418.18</v>
      </c>
      <c r="E56">
        <v>0.1</v>
      </c>
      <c r="F56">
        <v>1262.3800000000001</v>
      </c>
      <c r="G56">
        <v>6229.14</v>
      </c>
      <c r="H56">
        <v>4966.76</v>
      </c>
      <c r="I56">
        <v>0.2</v>
      </c>
      <c r="J56">
        <v>1262.3800000000001</v>
      </c>
      <c r="K56">
        <v>0.48620000000000002</v>
      </c>
      <c r="L56">
        <v>0.43459999999999999</v>
      </c>
      <c r="M56">
        <v>0.1062</v>
      </c>
      <c r="N56">
        <v>5.16E-2</v>
      </c>
    </row>
    <row r="57" spans="1:14" x14ac:dyDescent="0.45">
      <c r="A57">
        <v>60</v>
      </c>
      <c r="B57">
        <v>9</v>
      </c>
      <c r="C57">
        <v>13735.15</v>
      </c>
      <c r="D57">
        <v>12143.59</v>
      </c>
      <c r="E57">
        <v>0.12</v>
      </c>
      <c r="F57">
        <v>1591.55</v>
      </c>
      <c r="G57">
        <v>7541.75</v>
      </c>
      <c r="H57">
        <v>5950.2</v>
      </c>
      <c r="I57">
        <v>0.21</v>
      </c>
      <c r="J57">
        <v>1591.55</v>
      </c>
      <c r="K57">
        <v>0.54269999999999996</v>
      </c>
      <c r="L57">
        <v>0.48930000000000001</v>
      </c>
      <c r="M57">
        <v>9.8400000000000001E-2</v>
      </c>
      <c r="N57">
        <v>5.3400000000000003E-2</v>
      </c>
    </row>
    <row r="58" spans="1:14" x14ac:dyDescent="0.45">
      <c r="A58">
        <v>60</v>
      </c>
      <c r="B58">
        <v>10</v>
      </c>
      <c r="C58">
        <v>15209.29</v>
      </c>
      <c r="D58">
        <v>13010.58</v>
      </c>
      <c r="E58">
        <v>0.14000000000000001</v>
      </c>
      <c r="F58">
        <v>2198.71</v>
      </c>
      <c r="G58">
        <v>9186.91</v>
      </c>
      <c r="H58">
        <v>6988.2</v>
      </c>
      <c r="I58">
        <v>0.24</v>
      </c>
      <c r="J58">
        <v>2198.71</v>
      </c>
      <c r="K58">
        <v>0.59750000000000003</v>
      </c>
      <c r="L58">
        <v>0.53690000000000004</v>
      </c>
      <c r="M58">
        <v>0.1014</v>
      </c>
      <c r="N58">
        <v>6.0600000000000001E-2</v>
      </c>
    </row>
    <row r="59" spans="1:14" x14ac:dyDescent="0.45">
      <c r="A59">
        <v>100</v>
      </c>
      <c r="B59">
        <v>2</v>
      </c>
      <c r="C59">
        <v>8764.2199999999993</v>
      </c>
      <c r="D59">
        <v>8712.51</v>
      </c>
      <c r="E59">
        <v>0.01</v>
      </c>
      <c r="F59">
        <v>51.72</v>
      </c>
      <c r="G59">
        <v>425.53</v>
      </c>
      <c r="H59">
        <v>373.81</v>
      </c>
      <c r="I59">
        <v>0.12</v>
      </c>
      <c r="J59">
        <v>51.72</v>
      </c>
      <c r="K59">
        <v>4.8500000000000001E-2</v>
      </c>
      <c r="L59">
        <v>4.2900000000000001E-2</v>
      </c>
      <c r="M59">
        <v>0.1157</v>
      </c>
      <c r="N59">
        <v>5.5999999999999999E-3</v>
      </c>
    </row>
    <row r="60" spans="1:14" x14ac:dyDescent="0.45">
      <c r="A60">
        <v>100</v>
      </c>
      <c r="B60">
        <v>3</v>
      </c>
      <c r="C60">
        <v>10257.39</v>
      </c>
      <c r="D60">
        <v>10181.86</v>
      </c>
      <c r="E60">
        <v>0.01</v>
      </c>
      <c r="F60">
        <v>75.52</v>
      </c>
      <c r="G60">
        <v>818.46</v>
      </c>
      <c r="H60">
        <v>742.94</v>
      </c>
      <c r="I60">
        <v>0.09</v>
      </c>
      <c r="J60">
        <v>75.52</v>
      </c>
      <c r="K60">
        <v>7.9799999999999996E-2</v>
      </c>
      <c r="L60">
        <v>7.2999999999999995E-2</v>
      </c>
      <c r="M60">
        <v>8.4699999999999998E-2</v>
      </c>
      <c r="N60">
        <v>6.7999999999999996E-3</v>
      </c>
    </row>
    <row r="61" spans="1:14" x14ac:dyDescent="0.45">
      <c r="A61">
        <v>100</v>
      </c>
      <c r="B61">
        <v>4</v>
      </c>
      <c r="C61">
        <v>11749.71</v>
      </c>
      <c r="D61">
        <v>11637.32</v>
      </c>
      <c r="E61">
        <v>0.01</v>
      </c>
      <c r="F61">
        <v>112.4</v>
      </c>
      <c r="G61">
        <v>1358.81</v>
      </c>
      <c r="H61">
        <v>1246.4100000000001</v>
      </c>
      <c r="I61">
        <v>0.08</v>
      </c>
      <c r="J61">
        <v>112.4</v>
      </c>
      <c r="K61">
        <v>0.1157</v>
      </c>
      <c r="L61">
        <v>0.1074</v>
      </c>
      <c r="M61">
        <v>7.2300000000000003E-2</v>
      </c>
      <c r="N61">
        <v>8.3999999999999995E-3</v>
      </c>
    </row>
    <row r="62" spans="1:14" x14ac:dyDescent="0.45">
      <c r="A62">
        <v>100</v>
      </c>
      <c r="B62">
        <v>5</v>
      </c>
      <c r="C62">
        <v>12934.82</v>
      </c>
      <c r="D62">
        <v>12734.53</v>
      </c>
      <c r="E62">
        <v>0.02</v>
      </c>
      <c r="F62">
        <v>200.29</v>
      </c>
      <c r="G62">
        <v>2028.43</v>
      </c>
      <c r="H62">
        <v>1828.13</v>
      </c>
      <c r="I62">
        <v>0.1</v>
      </c>
      <c r="J62">
        <v>200.29</v>
      </c>
      <c r="K62">
        <v>0.15720000000000001</v>
      </c>
      <c r="L62">
        <v>0.14430000000000001</v>
      </c>
      <c r="M62">
        <v>8.2500000000000004E-2</v>
      </c>
      <c r="N62">
        <v>1.2999999999999999E-2</v>
      </c>
    </row>
    <row r="63" spans="1:14" x14ac:dyDescent="0.45">
      <c r="A63">
        <v>100</v>
      </c>
      <c r="B63">
        <v>6</v>
      </c>
      <c r="C63">
        <v>13606.84</v>
      </c>
      <c r="D63">
        <v>13259.77</v>
      </c>
      <c r="E63">
        <v>0.03</v>
      </c>
      <c r="F63">
        <v>347.07</v>
      </c>
      <c r="G63">
        <v>2920.14</v>
      </c>
      <c r="H63">
        <v>2573.0700000000002</v>
      </c>
      <c r="I63">
        <v>0.12</v>
      </c>
      <c r="J63">
        <v>347.07</v>
      </c>
      <c r="K63">
        <v>0.21479999999999999</v>
      </c>
      <c r="L63">
        <v>0.19500000000000001</v>
      </c>
      <c r="M63">
        <v>9.2200000000000004E-2</v>
      </c>
      <c r="N63">
        <v>1.9800000000000002E-2</v>
      </c>
    </row>
    <row r="64" spans="1:14" x14ac:dyDescent="0.45">
      <c r="A64">
        <v>100</v>
      </c>
      <c r="B64">
        <v>7</v>
      </c>
      <c r="C64">
        <v>14133.45</v>
      </c>
      <c r="D64">
        <v>13564.72</v>
      </c>
      <c r="E64">
        <v>0.04</v>
      </c>
      <c r="F64">
        <v>568.73</v>
      </c>
      <c r="G64">
        <v>3899.57</v>
      </c>
      <c r="H64">
        <v>3330.85</v>
      </c>
      <c r="I64">
        <v>0.15</v>
      </c>
      <c r="J64">
        <v>568.72</v>
      </c>
      <c r="K64">
        <v>0.27500000000000002</v>
      </c>
      <c r="L64">
        <v>0.24629999999999999</v>
      </c>
      <c r="M64">
        <v>0.1045</v>
      </c>
      <c r="N64">
        <v>2.87E-2</v>
      </c>
    </row>
    <row r="65" spans="1:14" x14ac:dyDescent="0.45">
      <c r="A65">
        <v>100</v>
      </c>
      <c r="B65">
        <v>8</v>
      </c>
      <c r="C65">
        <v>14832.11</v>
      </c>
      <c r="D65">
        <v>14005.55</v>
      </c>
      <c r="E65">
        <v>0.06</v>
      </c>
      <c r="F65">
        <v>826.56</v>
      </c>
      <c r="G65">
        <v>4949.1099999999997</v>
      </c>
      <c r="H65">
        <v>4122.55</v>
      </c>
      <c r="I65">
        <v>0.17</v>
      </c>
      <c r="J65">
        <v>826.56</v>
      </c>
      <c r="K65">
        <v>0.33169999999999999</v>
      </c>
      <c r="L65">
        <v>0.2949</v>
      </c>
      <c r="M65">
        <v>0.1108</v>
      </c>
      <c r="N65">
        <v>3.6799999999999999E-2</v>
      </c>
    </row>
    <row r="66" spans="1:14" x14ac:dyDescent="0.45">
      <c r="A66">
        <v>100</v>
      </c>
      <c r="B66">
        <v>9</v>
      </c>
      <c r="C66">
        <v>15301.94</v>
      </c>
      <c r="D66">
        <v>14414.65</v>
      </c>
      <c r="E66">
        <v>0.06</v>
      </c>
      <c r="F66">
        <v>887.29</v>
      </c>
      <c r="G66">
        <v>5636.48</v>
      </c>
      <c r="H66">
        <v>4749.1899999999996</v>
      </c>
      <c r="I66">
        <v>0.16</v>
      </c>
      <c r="J66">
        <v>887.29</v>
      </c>
      <c r="K66">
        <v>0.3654</v>
      </c>
      <c r="L66">
        <v>0.3296</v>
      </c>
      <c r="M66">
        <v>9.8100000000000007E-2</v>
      </c>
      <c r="N66">
        <v>3.5900000000000001E-2</v>
      </c>
    </row>
    <row r="67" spans="1:14" x14ac:dyDescent="0.45">
      <c r="A67">
        <v>100</v>
      </c>
      <c r="B67">
        <v>10</v>
      </c>
      <c r="C67">
        <v>16650.29</v>
      </c>
      <c r="D67">
        <v>15278.39</v>
      </c>
      <c r="E67">
        <v>0.08</v>
      </c>
      <c r="F67">
        <v>1371.89</v>
      </c>
      <c r="G67">
        <v>7246.47</v>
      </c>
      <c r="H67">
        <v>5874.58</v>
      </c>
      <c r="I67">
        <v>0.19</v>
      </c>
      <c r="J67">
        <v>1371.89</v>
      </c>
      <c r="K67">
        <v>0.43030000000000002</v>
      </c>
      <c r="L67">
        <v>0.38419999999999999</v>
      </c>
      <c r="M67">
        <v>0.1071</v>
      </c>
      <c r="N67">
        <v>4.6100000000000002E-2</v>
      </c>
    </row>
  </sheetData>
  <mergeCells count="3">
    <mergeCell ref="C1:F1"/>
    <mergeCell ref="G1:J1"/>
    <mergeCell ref="K1:N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27927-E9EA-4CFD-BA9D-08E45B4C4743}">
  <dimension ref="B2"/>
  <sheetViews>
    <sheetView workbookViewId="0">
      <selection activeCell="B2" sqref="B2"/>
    </sheetView>
  </sheetViews>
  <sheetFormatPr defaultRowHeight="14.25" x14ac:dyDescent="0.45"/>
  <sheetData>
    <row r="2" spans="2:2" x14ac:dyDescent="0.45">
      <c r="B2" t="s">
        <v>28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388936-0AAC-474F-8413-B71DA60B4F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Fig15 ImpByDrones</vt:lpstr>
      <vt:lpstr>Fig 16 ImpByStations</vt:lpstr>
      <vt:lpstr>data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</dc:creator>
  <cp:lastModifiedBy>GRIGORIOS GASTERATOS</cp:lastModifiedBy>
  <cp:lastPrinted>2024-07-14T19:48:35Z</cp:lastPrinted>
  <dcterms:created xsi:type="dcterms:W3CDTF">2015-06-05T18:19:34Z</dcterms:created>
  <dcterms:modified xsi:type="dcterms:W3CDTF">2025-07-07T19:57:44Z</dcterms:modified>
</cp:coreProperties>
</file>