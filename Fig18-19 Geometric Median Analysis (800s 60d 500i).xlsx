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_Source Control\Mission-Simulator\_Notes\Test Results\Paper2\Journal\"/>
    </mc:Choice>
  </mc:AlternateContent>
  <xr:revisionPtr revIDLastSave="0" documentId="13_ncr:1_{CB4E826D-665D-4043-9AD1-9DB28DBFF495}" xr6:coauthVersionLast="47" xr6:coauthVersionMax="47" xr10:uidLastSave="{00000000-0000-0000-0000-000000000000}"/>
  <bookViews>
    <workbookView xWindow="-98" yWindow="-98" windowWidth="28996" windowHeight="15675" activeTab="3" xr2:uid="{00000000-000D-0000-FFFF-FFFF00000000}"/>
  </bookViews>
  <sheets>
    <sheet name="Fig15 ImpByDrones" sheetId="12" r:id="rId1"/>
    <sheet name="Fig 16 ImpByStations" sheetId="9" r:id="rId2"/>
    <sheet name="data" sheetId="15" r:id="rId3"/>
    <sheet name="Notes" sheetId="13" r:id="rId4"/>
  </sheets>
  <definedNames>
    <definedName name="ImportedDataSource">#REF!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<sst xmlns="http://schemas.openxmlformats.org/spreadsheetml/2006/main" count="31" uniqueCount="26">
  <si>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>Stations</t>
  </si>
  <si>
    <t>Drones</t>
  </si>
  <si>
    <t>Distance</t>
  </si>
  <si>
    <t>Center.SPF.Avg</t>
  </si>
  <si>
    <t>Optimised.SPF.Avg</t>
  </si>
  <si>
    <t>Optimised.Distance</t>
  </si>
  <si>
    <t>Center.Distance</t>
  </si>
  <si>
    <t>SPF Imrovement</t>
  </si>
  <si>
    <t>Distance Imrovement</t>
  </si>
  <si>
    <t>SPF</t>
  </si>
  <si>
    <t>Optimised.SPD.Avg</t>
  </si>
  <si>
    <t>Center.SPD.Avg</t>
  </si>
  <si>
    <t>SPD Impovement</t>
  </si>
  <si>
    <t>Average</t>
  </si>
  <si>
    <t>SPD</t>
  </si>
  <si>
    <t>Row Labels</t>
  </si>
  <si>
    <t>Diff Distance</t>
  </si>
  <si>
    <t>Diff SPD</t>
  </si>
  <si>
    <t>Diff SPF</t>
  </si>
  <si>
    <t>Analysis by Stations</t>
  </si>
  <si>
    <t>Analysis by Drones</t>
  </si>
  <si>
    <t>Total Distance</t>
  </si>
  <si>
    <t>Starting Point Distance (SPD)</t>
  </si>
  <si>
    <t>Starting Point Factor (SPF)</t>
  </si>
  <si>
    <t>F</t>
  </si>
  <si>
    <t>Use the "GeometricMedian_Scaled_VIEW" view from SQLite database to copy the data into the "data"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</si>
</sst>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3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166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2">
    <cellStyle name="Normal" xfId="0" builtinId="0"/>
    <cellStyle name="Κανονικό 2" xfId="1" xr:uid="{2B81080C-9ED3-4173-8C13-D807581C319B}"/>
  </cellStyles>
  <dxfs count="12">
    <dxf>
      <numFmt numFmtId="165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166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0.0"/>
    </dxf>
    <dxf>
      <numFmt numFmtId="166" formatCode="0.0"/>
    </dxf>
    <dxf>
      <numFmt numFmtId="166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0.0"/>
    </dxf>
    <dxf>
      <numFmt numFmtId="166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[Fig15-16 Geometric Median Analysis (800s 60d 500i).xlsx]Fig15 ImpByDrones!Συγκεντρωτικός Πίνακας1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41275" cap="rnd">
            <a:solidFill>
              <a:schemeClr val="accent1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41275" cap="rnd">
            <a:solidFill>
              <a:schemeClr val="accent4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19803062986261"/>
          <c:y val="0.12223188097635412"/>
          <c:w val="0.74449668825848936"/>
          <c:h val="0.70709438965359817"/>
        </c:manualLayout>
      </c:layout>
      <c:lineChart>
        <c:grouping val="standard"/>
        <c:varyColors val="0"/>
        <c:ser>
          <c:idx val="0"/>
          <c:order val="0"/>
          <c:tx>
            <c:strRef>
              <c:f>'Fig15 ImpByDrones'!$B$4</c:f>
              <c:strCache>
                <c:ptCount val="1"/>
                <c:pt idx="0">
                  <c:v>SPD</c:v>
                </c:pt>
              </c:strCache>
            </c:strRef>
          </c:tx>
          <c:spPr>
            <a:ln w="412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'Fig15 ImpByDrones'!$A$5:$A$18</c:f>
              <c:strCach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15</c:v>
                </c:pt>
                <c:pt idx="10">
                  <c:v>20</c:v>
                </c:pt>
                <c:pt idx="11">
                  <c:v>30</c:v>
                </c:pt>
                <c:pt idx="12">
                  <c:v>60</c:v>
                </c:pt>
              </c:strCache>
            </c:strRef>
          </c:cat>
          <c:val>
            <c:numRef>
              <c:f>'Fig15 ImpByDrones'!$B$5:$B$18</c:f>
              <c:numCache>
                <c:formatCode>0%</c:formatCode>
                <c:ptCount val="13"/>
                <c:pt idx="0">
                  <c:v>0.17272727272727276</c:v>
                </c:pt>
                <c:pt idx="1">
                  <c:v>0.16909090909090915</c:v>
                </c:pt>
                <c:pt idx="2">
                  <c:v>0.17090909090909093</c:v>
                </c:pt>
                <c:pt idx="3">
                  <c:v>0.17700000000000002</c:v>
                </c:pt>
                <c:pt idx="4">
                  <c:v>0.18300000000000002</c:v>
                </c:pt>
                <c:pt idx="5">
                  <c:v>0.182</c:v>
                </c:pt>
                <c:pt idx="6">
                  <c:v>0.19</c:v>
                </c:pt>
                <c:pt idx="7">
                  <c:v>0.186</c:v>
                </c:pt>
                <c:pt idx="8">
                  <c:v>0.18666666666666668</c:v>
                </c:pt>
                <c:pt idx="9">
                  <c:v>0.19375000000000001</c:v>
                </c:pt>
                <c:pt idx="10">
                  <c:v>0.20571428571428571</c:v>
                </c:pt>
                <c:pt idx="11">
                  <c:v>0.21666666666666667</c:v>
                </c:pt>
                <c:pt idx="12">
                  <c:v>0.23749999999999999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D9-4B4D-A84E-C155E2F65BE6}"/>
            </c:ext>
          </c:extLst>
        </c:ser>
        <c:ser>
          <c:idx val="1"/>
          <c:order val="1"/>
          <c:tx>
            <c:strRef>
              <c:f>'Fig15 ImpByDrones'!$C$4</c:f>
              <c:strCache>
                <c:ptCount val="1"/>
                <c:pt idx="0">
                  <c:v>Distance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'Fig15 ImpByDrones'!$A$5:$A$18</c:f>
              <c:strCach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15</c:v>
                </c:pt>
                <c:pt idx="10">
                  <c:v>20</c:v>
                </c:pt>
                <c:pt idx="11">
                  <c:v>30</c:v>
                </c:pt>
                <c:pt idx="12">
                  <c:v>60</c:v>
                </c:pt>
              </c:strCache>
            </c:strRef>
          </c:cat>
          <c:val>
            <c:numRef>
              <c:f>'Fig15 ImpByDrones'!$C$5:$C$18</c:f>
              <c:numCache>
                <c:formatCode>0%</c:formatCode>
                <c:ptCount val="13"/>
                <c:pt idx="0">
                  <c:v>4.9090909090909095E-2</c:v>
                </c:pt>
                <c:pt idx="1">
                  <c:v>7.0000000000000007E-2</c:v>
                </c:pt>
                <c:pt idx="2">
                  <c:v>8.2727272727272746E-2</c:v>
                </c:pt>
                <c:pt idx="3">
                  <c:v>9.4E-2</c:v>
                </c:pt>
                <c:pt idx="4">
                  <c:v>9.8000000000000004E-2</c:v>
                </c:pt>
                <c:pt idx="5">
                  <c:v>0.10600000000000001</c:v>
                </c:pt>
                <c:pt idx="6">
                  <c:v>0.11600000000000002</c:v>
                </c:pt>
                <c:pt idx="7">
                  <c:v>0.121</c:v>
                </c:pt>
                <c:pt idx="8">
                  <c:v>0.12000000000000001</c:v>
                </c:pt>
                <c:pt idx="9">
                  <c:v>0.13374999999999998</c:v>
                </c:pt>
                <c:pt idx="10">
                  <c:v>0.14428571428571427</c:v>
                </c:pt>
                <c:pt idx="11">
                  <c:v>0.16</c:v>
                </c:pt>
                <c:pt idx="12">
                  <c:v>0.185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D9-4B4D-A84E-C155E2F65BE6}"/>
            </c:ext>
          </c:extLst>
        </c:ser>
        <c:ser>
          <c:idx val="2"/>
          <c:order val="2"/>
          <c:tx>
            <c:strRef>
              <c:f>'Fig15 ImpByDrones'!$D$4</c:f>
              <c:strCache>
                <c:ptCount val="1"/>
                <c:pt idx="0">
                  <c:v>SPF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'Fig15 ImpByDrones'!$A$5:$A$18</c:f>
              <c:strCach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15</c:v>
                </c:pt>
                <c:pt idx="10">
                  <c:v>20</c:v>
                </c:pt>
                <c:pt idx="11">
                  <c:v>30</c:v>
                </c:pt>
                <c:pt idx="12">
                  <c:v>60</c:v>
                </c:pt>
              </c:strCache>
            </c:strRef>
          </c:cat>
          <c:val>
            <c:numRef>
              <c:f>'Fig15 ImpByDrones'!$D$5:$D$18</c:f>
              <c:numCache>
                <c:formatCode>0%</c:formatCode>
                <c:ptCount val="13"/>
                <c:pt idx="0">
                  <c:v>0.12920909090909091</c:v>
                </c:pt>
                <c:pt idx="1">
                  <c:v>0.10078181818181818</c:v>
                </c:pt>
                <c:pt idx="2">
                  <c:v>9.0354545454545465E-2</c:v>
                </c:pt>
                <c:pt idx="3">
                  <c:v>8.8970000000000007E-2</c:v>
                </c:pt>
                <c:pt idx="4">
                  <c:v>8.8360000000000008E-2</c:v>
                </c:pt>
                <c:pt idx="5">
                  <c:v>7.8939999999999996E-2</c:v>
                </c:pt>
                <c:pt idx="6">
                  <c:v>7.4499999999999997E-2</c:v>
                </c:pt>
                <c:pt idx="7">
                  <c:v>6.9259999999999988E-2</c:v>
                </c:pt>
                <c:pt idx="8">
                  <c:v>6.9577777777777766E-2</c:v>
                </c:pt>
                <c:pt idx="9">
                  <c:v>6.0912500000000001E-2</c:v>
                </c:pt>
                <c:pt idx="10">
                  <c:v>6.4314285714285713E-2</c:v>
                </c:pt>
                <c:pt idx="11">
                  <c:v>5.9183333333333331E-2</c:v>
                </c:pt>
                <c:pt idx="12">
                  <c:v>5.1874999999999998E-2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D9-4B4D-A84E-C155E2F65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882160"/>
        <c:axId val="1936862192"/>
      </c:lineChart>
      <c:catAx>
        <c:axId val="193688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36862192"/>
        <c:crosses val="autoZero"/>
        <c:auto val="1"/>
        <c:lblAlgn val="ctr"/>
        <c:lblOffset val="100"/>
        <c:noMultiLvlLbl val="0"/>
      </c:catAx>
      <c:valAx>
        <c:axId val="193686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3688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23635880538878"/>
          <c:y val="0.39719756944444445"/>
          <c:w val="0.1158457671957672"/>
          <c:h val="0.223243749999999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 paperSize="9" orientation="landscape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[Fig15-16 Geometric Median Analysis (800s 60d 500i).xlsx]Fig 16 ImpByStations!Συγκεντρωτικός Πίνακας1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41275" cap="rnd">
            <a:solidFill>
              <a:schemeClr val="accent4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19803062986261"/>
          <c:y val="0.12223188097635412"/>
          <c:w val="0.73564890247810466"/>
          <c:h val="0.70709438965359817"/>
        </c:manualLayout>
      </c:layout>
      <c:lineChart>
        <c:grouping val="standard"/>
        <c:varyColors val="0"/>
        <c:ser>
          <c:idx val="0"/>
          <c:order val="0"/>
          <c:tx>
            <c:strRef>
              <c:f>'Fig 16 ImpByStations'!$B$5</c:f>
              <c:strCache>
                <c:ptCount val="1"/>
                <c:pt idx="0">
                  <c:v>SPD</c:v>
                </c:pt>
              </c:strCache>
            </c:strRef>
          </c:tx>
          <c:spPr>
            <a:ln w="412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 16 ImpByStations'!$A$6:$A$17</c:f>
              <c:strCache>
                <c:ptCount val="1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  <c:pt idx="8">
                  <c:v>200</c:v>
                </c:pt>
                <c:pt idx="9">
                  <c:v>400</c:v>
                </c:pt>
                <c:pt idx="10">
                  <c:v>800</c:v>
                </c:pt>
              </c:strCache>
            </c:strRef>
          </c:cat>
          <c:val>
            <c:numRef>
              <c:f>'Fig 16 ImpByStations'!$B$6:$B$17</c:f>
              <c:numCache>
                <c:formatCode>0%</c:formatCode>
                <c:ptCount val="11"/>
                <c:pt idx="0">
                  <c:v>0.32333333333333331</c:v>
                </c:pt>
                <c:pt idx="1">
                  <c:v>0.30249999999999999</c:v>
                </c:pt>
                <c:pt idx="2">
                  <c:v>0.26666666666666666</c:v>
                </c:pt>
                <c:pt idx="3">
                  <c:v>0.25700000000000001</c:v>
                </c:pt>
                <c:pt idx="4">
                  <c:v>0.22999999999999998</c:v>
                </c:pt>
                <c:pt idx="5">
                  <c:v>0.20833333333333334</c:v>
                </c:pt>
                <c:pt idx="6">
                  <c:v>0.19499999999999998</c:v>
                </c:pt>
                <c:pt idx="7">
                  <c:v>0.1676923076923077</c:v>
                </c:pt>
                <c:pt idx="8">
                  <c:v>0.1246153846153846</c:v>
                </c:pt>
                <c:pt idx="9">
                  <c:v>9.6923076923076917E-2</c:v>
                </c:pt>
                <c:pt idx="10">
                  <c:v>7.3076923076923067E-2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49-4E2A-8F18-644D8048CD82}"/>
            </c:ext>
          </c:extLst>
        </c:ser>
        <c:ser>
          <c:idx val="1"/>
          <c:order val="1"/>
          <c:tx>
            <c:strRef>
              <c:f>'Fig 16 ImpByStations'!$C$5</c:f>
              <c:strCache>
                <c:ptCount val="1"/>
                <c:pt idx="0">
                  <c:v>Distance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'Fig 16 ImpByStations'!$A$6:$A$17</c:f>
              <c:strCache>
                <c:ptCount val="1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  <c:pt idx="8">
                  <c:v>200</c:v>
                </c:pt>
                <c:pt idx="9">
                  <c:v>400</c:v>
                </c:pt>
                <c:pt idx="10">
                  <c:v>800</c:v>
                </c:pt>
              </c:strCache>
            </c:strRef>
          </c:cat>
          <c:val>
            <c:numRef>
              <c:f>'Fig 16 ImpByStations'!$C$6:$C$17</c:f>
              <c:numCache>
                <c:formatCode>0%</c:formatCode>
                <c:ptCount val="11"/>
                <c:pt idx="0">
                  <c:v>0.25</c:v>
                </c:pt>
                <c:pt idx="1">
                  <c:v>0.22625000000000003</c:v>
                </c:pt>
                <c:pt idx="2">
                  <c:v>0.18555555555555556</c:v>
                </c:pt>
                <c:pt idx="3">
                  <c:v>0.17099999999999999</c:v>
                </c:pt>
                <c:pt idx="4">
                  <c:v>0.15</c:v>
                </c:pt>
                <c:pt idx="5">
                  <c:v>0.12166666666666666</c:v>
                </c:pt>
                <c:pt idx="6">
                  <c:v>0.10666666666666667</c:v>
                </c:pt>
                <c:pt idx="7">
                  <c:v>8.3076923076923076E-2</c:v>
                </c:pt>
                <c:pt idx="8">
                  <c:v>4.6153846153846149E-2</c:v>
                </c:pt>
                <c:pt idx="9">
                  <c:v>2.3076923076923082E-2</c:v>
                </c:pt>
                <c:pt idx="10">
                  <c:v>9.2307692307692299E-3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C-49C4-98DF-BD3BB70CFF4D}"/>
            </c:ext>
          </c:extLst>
        </c:ser>
        <c:ser>
          <c:idx val="2"/>
          <c:order val="2"/>
          <c:tx>
            <c:strRef>
              <c:f>'Fig 16 ImpByStations'!$D$5</c:f>
              <c:strCache>
                <c:ptCount val="1"/>
                <c:pt idx="0">
                  <c:v>SPF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'Fig 16 ImpByStations'!$A$6:$A$17</c:f>
              <c:strCache>
                <c:ptCount val="1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  <c:pt idx="8">
                  <c:v>200</c:v>
                </c:pt>
                <c:pt idx="9">
                  <c:v>400</c:v>
                </c:pt>
                <c:pt idx="10">
                  <c:v>800</c:v>
                </c:pt>
              </c:strCache>
            </c:strRef>
          </c:cat>
          <c:val>
            <c:numRef>
              <c:f>'Fig 16 ImpByStations'!$D$6:$D$17</c:f>
              <c:numCache>
                <c:formatCode>0%</c:formatCode>
                <c:ptCount val="11"/>
                <c:pt idx="0">
                  <c:v>8.7333333333333332E-2</c:v>
                </c:pt>
                <c:pt idx="1">
                  <c:v>8.7499999999999994E-2</c:v>
                </c:pt>
                <c:pt idx="2">
                  <c:v>8.9388888888888893E-2</c:v>
                </c:pt>
                <c:pt idx="3">
                  <c:v>9.3539999999999998E-2</c:v>
                </c:pt>
                <c:pt idx="4">
                  <c:v>8.6099999999999996E-2</c:v>
                </c:pt>
                <c:pt idx="5">
                  <c:v>9.0199999999999989E-2</c:v>
                </c:pt>
                <c:pt idx="6">
                  <c:v>9.0658333333333341E-2</c:v>
                </c:pt>
                <c:pt idx="7">
                  <c:v>8.5130769230769232E-2</c:v>
                </c:pt>
                <c:pt idx="8">
                  <c:v>7.7269230769230784E-2</c:v>
                </c:pt>
                <c:pt idx="9">
                  <c:v>7.0469230769230756E-2</c:v>
                </c:pt>
                <c:pt idx="10">
                  <c:v>6.1830769230769238E-2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36-402C-ABD5-FA95A2624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882160"/>
        <c:axId val="1936862192"/>
      </c:lineChart>
      <c:catAx>
        <c:axId val="193688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36862192"/>
        <c:crosses val="autoZero"/>
        <c:auto val="1"/>
        <c:lblAlgn val="ctr"/>
        <c:lblOffset val="100"/>
        <c:noMultiLvlLbl val="0"/>
      </c:catAx>
      <c:valAx>
        <c:axId val="193686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3688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 paperSize="9" orientation="landscape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330992</xdr:colOff>
      <xdr:row>3</xdr:row>
      <xdr:rowOff>2379</xdr:rowOff>
    </xdr:from>
    <xdr:to>
      <xdr:col>14</xdr:col>
      <xdr:colOff>306280</xdr:colOff>
      <xdr:row>18</xdr:row>
      <xdr:rowOff>167754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51AD6C5F-9C6C-4DA7-AC1F-914167CD5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0.42817</cdr:x>
      <cdr:y>0.87664</cdr:y>
    </cdr:from>
    <cdr:to>
      <cdr:x>0.56365</cdr:x>
      <cdr:y>0.96153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1D76E8D-624B-FDCC-421F-0A68B149646F}"/>
            </a:ext>
          </a:extLst>
        </cdr:cNvPr>
        <cdr:cNvSpPr txBox="1"/>
      </cdr:nvSpPr>
      <cdr:spPr>
        <a:xfrm xmlns:a="http://schemas.openxmlformats.org/drawingml/2006/main">
          <a:off x="2784475" y="2803525"/>
          <a:ext cx="881063" cy="271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/>
            <a:t>Drones</a:t>
          </a:r>
          <a:endParaRPr lang="el-GR" sz="1400" b="1"/>
        </a:p>
      </cdr:txBody>
    </cdr:sp>
  </cdr:relSizeAnchor>
  <cdr:relSizeAnchor xmlns:cdr="http://schemas.openxmlformats.org/drawingml/2006/chartDrawing">
    <cdr:from>
      <cdr:x>0.01285</cdr:x>
      <cdr:y>0.27035</cdr:y>
    </cdr:from>
    <cdr:to>
      <cdr:x>0.06631</cdr:x>
      <cdr:y>0.68003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E224AD5-A0AE-3A0A-B653-F4B812BD64F2}"/>
            </a:ext>
          </a:extLst>
        </cdr:cNvPr>
        <cdr:cNvSpPr txBox="1"/>
      </cdr:nvSpPr>
      <cdr:spPr>
        <a:xfrm xmlns:a="http://schemas.openxmlformats.org/drawingml/2006/main" rot="16200000">
          <a:off x="-290717" y="1166477"/>
          <a:ext cx="1179878" cy="4041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400" b="1"/>
            <a:t>Improvement</a:t>
          </a:r>
          <a:endParaRPr lang="el-GR" sz="1400" b="1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488153</xdr:colOff>
      <xdr:row>2</xdr:row>
      <xdr:rowOff>40479</xdr:rowOff>
    </xdr:from>
    <xdr:to>
      <xdr:col>14</xdr:col>
      <xdr:colOff>487253</xdr:colOff>
      <xdr:row>18</xdr:row>
      <xdr:rowOff>23813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D31AFB6E-6BDD-04F4-84B8-9261B12F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0.42817</cdr:x>
      <cdr:y>0.87664</cdr:y>
    </cdr:from>
    <cdr:to>
      <cdr:x>0.56365</cdr:x>
      <cdr:y>0.96153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1D76E8D-624B-FDCC-421F-0A68B149646F}"/>
            </a:ext>
          </a:extLst>
        </cdr:cNvPr>
        <cdr:cNvSpPr txBox="1"/>
      </cdr:nvSpPr>
      <cdr:spPr>
        <a:xfrm xmlns:a="http://schemas.openxmlformats.org/drawingml/2006/main">
          <a:off x="2784475" y="2803525"/>
          <a:ext cx="881063" cy="271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/>
            <a:t>Stations</a:t>
          </a:r>
          <a:endParaRPr lang="el-GR" sz="1400" b="1"/>
        </a:p>
      </cdr:txBody>
    </cdr:sp>
  </cdr:relSizeAnchor>
  <cdr:relSizeAnchor xmlns:cdr="http://schemas.openxmlformats.org/drawingml/2006/chartDrawing">
    <cdr:from>
      <cdr:x>0.00915</cdr:x>
      <cdr:y>0.27254</cdr:y>
    </cdr:from>
    <cdr:to>
      <cdr:x>0.06261</cdr:x>
      <cdr:y>0.68221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CE3BD09B-B724-8D7D-5C97-E36755945B8C}"/>
            </a:ext>
          </a:extLst>
        </cdr:cNvPr>
        <cdr:cNvSpPr txBox="1"/>
      </cdr:nvSpPr>
      <cdr:spPr>
        <a:xfrm xmlns:a="http://schemas.openxmlformats.org/drawingml/2006/main" rot="16200000">
          <a:off x="-345463" y="1192354"/>
          <a:ext cx="1179413" cy="3639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/>
            <a:t>Improvement</a:t>
          </a:r>
          <a:endParaRPr lang="el-GR" sz="1400" b="1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ry Gasteratos" refreshedDate="45869.985100694445" createdVersion="8" refreshedVersion="8" minRefreshableVersion="3" recordCount="117" xr:uid="{70A8EFE6-8D04-45E3-9822-493291EBCD09}">
  <cacheSource type="worksheet">
    <worksheetSource name="Merged_1"/>
  </cacheSource>
  <cacheFields count="14">
    <cacheField name="Stations" numFmtId="0">
      <sharedItems containsSemiMixedTypes="0" containsString="0" containsNumber="1" containsInteger="1" minValue="5" maxValue="800" count="11">
        <n v="5"/>
        <n v="10"/>
        <n v="15"/>
        <n v="20"/>
        <n v="25"/>
        <n v="45"/>
        <n v="60"/>
        <n v="100"/>
        <n v="200"/>
        <n v="400"/>
        <n v="800"/>
      </sharedItems>
    </cacheField>
    <cacheField name="Drones" numFmtId="0">
      <sharedItems containsSemiMixedTypes="0" containsString="0" containsNumber="1" containsInteger="1" minValue="1" maxValue="60" count="14">
        <n v="2"/>
        <n v="3"/>
        <n v="4"/>
        <n v="5"/>
        <n v="6"/>
        <n v="7"/>
        <n v="8"/>
        <n v="9"/>
        <n v="10"/>
        <n v="15"/>
        <n v="20"/>
        <n v="30"/>
        <n v="60"/>
        <n v="1" u="1"/>
      </sharedItems>
    </cacheField>
    <cacheField name="Optimised.Distance" numFmtId="0">
      <sharedItems containsSemiMixedTypes="0" containsString="0" containsNumber="1" minValue="3044.41" maxValue="82071.09"/>
    </cacheField>
    <cacheField name="Center.Distance" numFmtId="0">
      <sharedItems containsSemiMixedTypes="0" containsString="0" containsNumber="1" minValue="2378.2199999999998" maxValue="74380.03"/>
    </cacheField>
    <cacheField name="Distance Imrovement" numFmtId="0">
      <sharedItems containsSemiMixedTypes="0" containsString="0" containsNumber="1" minValue="0" maxValue="0.28000000000000003"/>
    </cacheField>
    <cacheField name="Diff Distance" numFmtId="0">
      <sharedItems containsSemiMixedTypes="0" containsString="0" containsNumber="1" minValue="16.350000000000001" maxValue="15474.66"/>
    </cacheField>
    <cacheField name="Optimised.SPD.Avg" numFmtId="0">
      <sharedItems containsSemiMixedTypes="0" containsString="0" containsNumber="1" minValue="148.01" maxValue="56033.57"/>
    </cacheField>
    <cacheField name="Center.SPD.Avg" numFmtId="0">
      <sharedItems containsSemiMixedTypes="0" containsString="0" containsNumber="1" minValue="131.66" maxValue="43077.53"/>
    </cacheField>
    <cacheField name="SPD Impovement" numFmtId="0">
      <sharedItems containsSemiMixedTypes="0" containsString="0" containsNumber="1" minValue="0.05" maxValue="0.34"/>
    </cacheField>
    <cacheField name="Diff SPD" numFmtId="0">
      <sharedItems containsSemiMixedTypes="0" containsString="0" containsNumber="1" minValue="16.350000000000001" maxValue="15474.66"/>
    </cacheField>
    <cacheField name="Optimised.SPF.Avg" numFmtId="0">
      <sharedItems containsSemiMixedTypes="0" containsString="0" containsNumber="1" minValue="6.3E-3" maxValue="0.94179999999999997"/>
    </cacheField>
    <cacheField name="Center.SPF.Avg" numFmtId="0">
      <sharedItems containsSemiMixedTypes="0" containsString="0" containsNumber="1" minValue="5.5999999999999999E-3" maxValue="0.92390000000000005"/>
    </cacheField>
    <cacheField name="SPF Imrovement" numFmtId="0">
      <sharedItems containsSemiMixedTypes="0" containsString="0" containsNumber="1" minValue="1.9E-2" maxValue="0.17649999999999999"/>
    </cacheField>
    <cacheField name="Diff SPF" numFmtId="0">
      <sharedItems containsSemiMixedTypes="0" containsString="0" containsNumber="1" minValue="6.9999999999999999E-4" maxValue="9.0200000000000002E-2"/>
    </cacheField>
  </cacheFields>
  <extLst>
    <ext xmlns:x14="http://schemas.microsoft.com/office/spreadsheetml/2009/9/main" uri="{725AE2AE-9491-48be-B2B4-4EB974FC3084}">
      <x14:pivotCacheDefinition pivotCacheId="17749781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x v="0"/>
    <x v="0"/>
    <n v="3044.41"/>
    <n v="2378.2199999999998"/>
    <n v="0.22"/>
    <n v="666.19"/>
    <n v="1985.63"/>
    <n v="1319.44"/>
    <n v="0.34"/>
    <n v="666.19"/>
    <n v="0.64490000000000003"/>
    <n v="0.55469999999999997"/>
    <n v="0.13980000000000001"/>
    <n v="9.0200000000000002E-2"/>
  </r>
  <r>
    <x v="0"/>
    <x v="1"/>
    <n v="3664.84"/>
    <n v="2700.84"/>
    <n v="0.26"/>
    <n v="964"/>
    <n v="3087.53"/>
    <n v="2123.5300000000002"/>
    <n v="0.31"/>
    <n v="964"/>
    <n v="0.83620000000000005"/>
    <n v="0.78690000000000004"/>
    <n v="5.8999999999999997E-2"/>
    <n v="4.9299999999999997E-2"/>
  </r>
  <r>
    <x v="0"/>
    <x v="2"/>
    <n v="3662.97"/>
    <n v="2671.45"/>
    <n v="0.27"/>
    <n v="991.52"/>
    <n v="3076.84"/>
    <n v="2085.3200000000002"/>
    <n v="0.32"/>
    <n v="991.52"/>
    <n v="0.83209999999999995"/>
    <n v="0.77949999999999997"/>
    <n v="6.3200000000000006E-2"/>
    <n v="5.2600000000000001E-2"/>
  </r>
  <r>
    <x v="1"/>
    <x v="0"/>
    <n v="3893.97"/>
    <n v="3395.64"/>
    <n v="0.13"/>
    <n v="498.33"/>
    <n v="1710.11"/>
    <n v="1211.78"/>
    <n v="0.28999999999999998"/>
    <n v="498.33"/>
    <n v="0.43409999999999999"/>
    <n v="0.35749999999999998"/>
    <n v="0.17649999999999999"/>
    <n v="7.6600000000000001E-2"/>
  </r>
  <r>
    <x v="1"/>
    <x v="1"/>
    <n v="4474.01"/>
    <n v="3774.51"/>
    <n v="0.16"/>
    <n v="699.5"/>
    <n v="2712.54"/>
    <n v="2013.04"/>
    <n v="0.26"/>
    <n v="699.5"/>
    <n v="0.59730000000000005"/>
    <n v="0.53110000000000002"/>
    <n v="0.1109"/>
    <n v="6.6299999999999998E-2"/>
  </r>
  <r>
    <x v="1"/>
    <x v="2"/>
    <n v="5214.1400000000003"/>
    <n v="4369.93"/>
    <n v="0.16"/>
    <n v="844.21"/>
    <n v="3713.83"/>
    <n v="2869.62"/>
    <n v="0.23"/>
    <n v="844.21"/>
    <n v="0.70389999999999997"/>
    <n v="0.65410000000000001"/>
    <n v="7.0800000000000002E-2"/>
    <n v="4.99E-2"/>
  </r>
  <r>
    <x v="1"/>
    <x v="3"/>
    <n v="6821.06"/>
    <n v="4923.58"/>
    <n v="0.28000000000000003"/>
    <n v="1897.47"/>
    <n v="5707.41"/>
    <n v="3809.94"/>
    <n v="0.33"/>
    <n v="1897.47"/>
    <n v="0.83050000000000002"/>
    <n v="0.77229999999999999"/>
    <n v="7.0099999999999996E-2"/>
    <n v="5.8200000000000002E-2"/>
  </r>
  <r>
    <x v="1"/>
    <x v="4"/>
    <n v="6629.07"/>
    <n v="4884.38"/>
    <n v="0.26"/>
    <n v="1744.68"/>
    <n v="5516.77"/>
    <n v="3772.08"/>
    <n v="0.32"/>
    <n v="1744.68"/>
    <n v="0.82569999999999999"/>
    <n v="0.77100000000000002"/>
    <n v="6.6199999999999995E-2"/>
    <n v="5.4699999999999999E-2"/>
  </r>
  <r>
    <x v="1"/>
    <x v="5"/>
    <n v="6716.54"/>
    <n v="4887.57"/>
    <n v="0.27"/>
    <n v="1828.98"/>
    <n v="5614.06"/>
    <n v="3785.09"/>
    <n v="0.33"/>
    <n v="1828.98"/>
    <n v="0.83030000000000004"/>
    <n v="0.77359999999999995"/>
    <n v="6.8199999999999997E-2"/>
    <n v="5.67E-2"/>
  </r>
  <r>
    <x v="1"/>
    <x v="6"/>
    <n v="6718.47"/>
    <n v="4822.78"/>
    <n v="0.28000000000000003"/>
    <n v="1895.69"/>
    <n v="5637"/>
    <n v="3741.31"/>
    <n v="0.34"/>
    <n v="1895.69"/>
    <n v="0.83330000000000004"/>
    <n v="0.77449999999999997"/>
    <n v="7.0599999999999996E-2"/>
    <n v="5.8900000000000001E-2"/>
  </r>
  <r>
    <x v="1"/>
    <x v="7"/>
    <n v="6696.18"/>
    <n v="4919.6000000000004"/>
    <n v="0.27"/>
    <n v="1776.58"/>
    <n v="5585.91"/>
    <n v="3809.33"/>
    <n v="0.32"/>
    <n v="1776.58"/>
    <n v="0.82850000000000001"/>
    <n v="0.7732"/>
    <n v="6.6699999999999995E-2"/>
    <n v="5.5300000000000002E-2"/>
  </r>
  <r>
    <x v="2"/>
    <x v="0"/>
    <n v="4268.08"/>
    <n v="3945.32"/>
    <n v="0.08"/>
    <n v="322.76"/>
    <n v="1378.17"/>
    <n v="1055.4100000000001"/>
    <n v="0.23"/>
    <n v="322.76"/>
    <n v="0.31969999999999998"/>
    <n v="0.26690000000000003"/>
    <n v="0.16520000000000001"/>
    <n v="5.28E-2"/>
  </r>
  <r>
    <x v="2"/>
    <x v="1"/>
    <n v="5276.07"/>
    <n v="4606.9399999999996"/>
    <n v="0.13"/>
    <n v="669.12"/>
    <n v="2618.42"/>
    <n v="1949.3"/>
    <n v="0.26"/>
    <n v="669.12"/>
    <n v="0.49049999999999999"/>
    <n v="0.42270000000000002"/>
    <n v="0.13830000000000001"/>
    <n v="6.7799999999999999E-2"/>
  </r>
  <r>
    <x v="2"/>
    <x v="2"/>
    <n v="6110.73"/>
    <n v="5104.6000000000004"/>
    <n v="0.16"/>
    <n v="1006.13"/>
    <n v="3790.71"/>
    <n v="2784.57"/>
    <n v="0.27"/>
    <n v="1006.13"/>
    <n v="0.61250000000000004"/>
    <n v="0.54490000000000005"/>
    <n v="0.1103"/>
    <n v="6.7599999999999993E-2"/>
  </r>
  <r>
    <x v="2"/>
    <x v="3"/>
    <n v="7216.5"/>
    <n v="5749.79"/>
    <n v="0.2"/>
    <n v="1466.71"/>
    <n v="5201.5200000000004"/>
    <n v="3734.81"/>
    <n v="0.28000000000000003"/>
    <n v="1466.71"/>
    <n v="0.7137"/>
    <n v="0.64900000000000002"/>
    <n v="9.0700000000000003E-2"/>
    <n v="6.4699999999999994E-2"/>
  </r>
  <r>
    <x v="2"/>
    <x v="4"/>
    <n v="7213.9"/>
    <n v="5737.06"/>
    <n v="0.2"/>
    <n v="1476.84"/>
    <n v="5188.47"/>
    <n v="3711.63"/>
    <n v="0.28000000000000003"/>
    <n v="1476.84"/>
    <n v="0.71240000000000003"/>
    <n v="0.64659999999999995"/>
    <n v="9.2399999999999996E-2"/>
    <n v="6.5799999999999997E-2"/>
  </r>
  <r>
    <x v="2"/>
    <x v="5"/>
    <n v="7207.23"/>
    <n v="5758.73"/>
    <n v="0.2"/>
    <n v="1448.5"/>
    <n v="5177.29"/>
    <n v="3728.79"/>
    <n v="0.28000000000000003"/>
    <n v="1448.5"/>
    <n v="0.71140000000000003"/>
    <n v="0.6462"/>
    <n v="9.1600000000000001E-2"/>
    <n v="6.5199999999999994E-2"/>
  </r>
  <r>
    <x v="2"/>
    <x v="6"/>
    <n v="9647.0300000000007"/>
    <n v="7388.46"/>
    <n v="0.23"/>
    <n v="2258.5700000000002"/>
    <n v="8457.39"/>
    <n v="6198.82"/>
    <n v="0.27"/>
    <n v="2258.5700000000002"/>
    <n v="0.87150000000000005"/>
    <n v="0.83819999999999995"/>
    <n v="3.8199999999999998E-2"/>
    <n v="3.3300000000000003E-2"/>
  </r>
  <r>
    <x v="2"/>
    <x v="7"/>
    <n v="9720.26"/>
    <n v="7467.85"/>
    <n v="0.23"/>
    <n v="2252.42"/>
    <n v="8513.0499999999993"/>
    <n v="6260.63"/>
    <n v="0.26"/>
    <n v="2252.42"/>
    <n v="0.87109999999999999"/>
    <n v="0.8377"/>
    <n v="3.8399999999999997E-2"/>
    <n v="3.3500000000000002E-2"/>
  </r>
  <r>
    <x v="2"/>
    <x v="8"/>
    <n v="9833.68"/>
    <n v="7488.29"/>
    <n v="0.24"/>
    <n v="2345.39"/>
    <n v="8639.67"/>
    <n v="6294.28"/>
    <n v="0.27"/>
    <n v="2345.39"/>
    <n v="0.87450000000000006"/>
    <n v="0.84009999999999996"/>
    <n v="3.9399999999999998E-2"/>
    <n v="3.4500000000000003E-2"/>
  </r>
  <r>
    <x v="3"/>
    <x v="0"/>
    <n v="4854.84"/>
    <n v="4624.88"/>
    <n v="0.05"/>
    <n v="229.97"/>
    <n v="1182.72"/>
    <n v="952.75"/>
    <n v="0.19"/>
    <n v="229.97"/>
    <n v="0.24299999999999999"/>
    <n v="0.20630000000000001"/>
    <n v="0.15090000000000001"/>
    <n v="3.6700000000000003E-2"/>
  </r>
  <r>
    <x v="3"/>
    <x v="1"/>
    <n v="5693.19"/>
    <n v="5132.01"/>
    <n v="0.1"/>
    <n v="561.19000000000005"/>
    <n v="2336.19"/>
    <n v="1775"/>
    <n v="0.24"/>
    <n v="561.19000000000005"/>
    <n v="0.40550000000000003"/>
    <n v="0.34589999999999999"/>
    <n v="0.14699999999999999"/>
    <n v="5.96E-2"/>
  </r>
  <r>
    <x v="3"/>
    <x v="2"/>
    <n v="6701.69"/>
    <n v="5799.56"/>
    <n v="0.13"/>
    <n v="902.13"/>
    <n v="3585.79"/>
    <n v="2683.66"/>
    <n v="0.25"/>
    <n v="902.13"/>
    <n v="0.52880000000000005"/>
    <n v="0.46239999999999998"/>
    <n v="0.12559999999999999"/>
    <n v="6.6400000000000001E-2"/>
  </r>
  <r>
    <x v="3"/>
    <x v="3"/>
    <n v="7788.53"/>
    <n v="6451.06"/>
    <n v="0.17"/>
    <n v="1337.47"/>
    <n v="4941.1000000000004"/>
    <n v="3603.64"/>
    <n v="0.27"/>
    <n v="1337.46"/>
    <n v="0.62760000000000005"/>
    <n v="0.5585"/>
    <n v="0.1101"/>
    <n v="6.9099999999999995E-2"/>
  </r>
  <r>
    <x v="3"/>
    <x v="4"/>
    <n v="7713.25"/>
    <n v="6429.28"/>
    <n v="0.17"/>
    <n v="1283.97"/>
    <n v="4905.96"/>
    <n v="3621.99"/>
    <n v="0.26"/>
    <n v="1283.97"/>
    <n v="0.62919999999999998"/>
    <n v="0.56299999999999994"/>
    <n v="0.1052"/>
    <n v="6.6199999999999995E-2"/>
  </r>
  <r>
    <x v="3"/>
    <x v="5"/>
    <n v="9306.7099999999991"/>
    <n v="7450.15"/>
    <n v="0.2"/>
    <n v="1856.56"/>
    <n v="7087.36"/>
    <n v="5230.8"/>
    <n v="0.26"/>
    <n v="1856.56"/>
    <n v="0.75449999999999995"/>
    <n v="0.70150000000000001"/>
    <n v="7.0300000000000001E-2"/>
    <n v="5.2999999999999999E-2"/>
  </r>
  <r>
    <x v="3"/>
    <x v="6"/>
    <n v="9604.1200000000008"/>
    <n v="7576.2"/>
    <n v="0.21"/>
    <n v="2027.92"/>
    <n v="7362.74"/>
    <n v="5334.82"/>
    <n v="0.28000000000000003"/>
    <n v="2027.92"/>
    <n v="0.76090000000000002"/>
    <n v="0.70369999999999999"/>
    <n v="7.5200000000000003E-2"/>
    <n v="5.7200000000000001E-2"/>
  </r>
  <r>
    <x v="3"/>
    <x v="7"/>
    <n v="9268.14"/>
    <n v="7518.53"/>
    <n v="0.19"/>
    <n v="1749.62"/>
    <n v="7054.82"/>
    <n v="5305.21"/>
    <n v="0.25"/>
    <n v="1749.62"/>
    <n v="0.75539999999999996"/>
    <n v="0.70489999999999997"/>
    <n v="6.6799999999999998E-2"/>
    <n v="5.0500000000000003E-2"/>
  </r>
  <r>
    <x v="3"/>
    <x v="8"/>
    <n v="12543.12"/>
    <n v="9374.61"/>
    <n v="0.25"/>
    <n v="3168.52"/>
    <n v="11016.93"/>
    <n v="7848.42"/>
    <n v="0.28999999999999998"/>
    <n v="3168.51"/>
    <n v="0.874"/>
    <n v="0.83640000000000003"/>
    <n v="4.3099999999999999E-2"/>
    <n v="3.7699999999999997E-2"/>
  </r>
  <r>
    <x v="3"/>
    <x v="9"/>
    <n v="12518.7"/>
    <n v="9454.61"/>
    <n v="0.24"/>
    <n v="3064.09"/>
    <n v="10994.91"/>
    <n v="7930.82"/>
    <n v="0.28000000000000003"/>
    <n v="3064.09"/>
    <n v="0.87409999999999999"/>
    <n v="0.83819999999999995"/>
    <n v="4.1200000000000001E-2"/>
    <n v="3.5999999999999997E-2"/>
  </r>
  <r>
    <x v="4"/>
    <x v="0"/>
    <n v="5282.48"/>
    <n v="5119.6000000000004"/>
    <n v="0.03"/>
    <n v="162.88"/>
    <n v="1025.73"/>
    <n v="862.85"/>
    <n v="0.16"/>
    <n v="162.88"/>
    <n v="0.19420000000000001"/>
    <n v="0.16889999999999999"/>
    <n v="0.13"/>
    <n v="2.52E-2"/>
  </r>
  <r>
    <x v="4"/>
    <x v="1"/>
    <n v="6044.43"/>
    <n v="5590.28"/>
    <n v="0.08"/>
    <n v="454.15"/>
    <n v="2101.4"/>
    <n v="1647.25"/>
    <n v="0.22"/>
    <n v="454.15"/>
    <n v="0.3448"/>
    <n v="0.29549999999999998"/>
    <n v="0.14299999999999999"/>
    <n v="4.9299999999999997E-2"/>
  </r>
  <r>
    <x v="4"/>
    <x v="2"/>
    <n v="6776.43"/>
    <n v="6129.54"/>
    <n v="0.1"/>
    <n v="646.89"/>
    <n v="3096.54"/>
    <n v="2449.65"/>
    <n v="0.21"/>
    <n v="646.89"/>
    <n v="0.45190000000000002"/>
    <n v="0.3987"/>
    <n v="0.1179"/>
    <n v="5.33E-2"/>
  </r>
  <r>
    <x v="4"/>
    <x v="3"/>
    <n v="8072.54"/>
    <n v="6915.38"/>
    <n v="0.14000000000000001"/>
    <n v="1157.1600000000001"/>
    <n v="4578.8"/>
    <n v="3421.64"/>
    <n v="0.25"/>
    <n v="1157.17"/>
    <n v="0.55930000000000002"/>
    <n v="0.49440000000000001"/>
    <n v="0.11609999999999999"/>
    <n v="6.5000000000000002E-2"/>
  </r>
  <r>
    <x v="4"/>
    <x v="4"/>
    <n v="8038.77"/>
    <n v="6855.78"/>
    <n v="0.15"/>
    <n v="1182.99"/>
    <n v="4595.78"/>
    <n v="3412.79"/>
    <n v="0.26"/>
    <n v="1182.99"/>
    <n v="0.56410000000000005"/>
    <n v="0.49730000000000002"/>
    <n v="0.11840000000000001"/>
    <n v="6.6799999999999998E-2"/>
  </r>
  <r>
    <x v="4"/>
    <x v="5"/>
    <n v="9439.18"/>
    <n v="8061.8"/>
    <n v="0.15"/>
    <n v="1377.38"/>
    <n v="6444.53"/>
    <n v="5067.1499999999996"/>
    <n v="0.21"/>
    <n v="1377.38"/>
    <n v="0.67589999999999995"/>
    <n v="0.62749999999999995"/>
    <n v="7.1499999999999994E-2"/>
    <n v="4.8300000000000003E-2"/>
  </r>
  <r>
    <x v="4"/>
    <x v="6"/>
    <n v="9491.34"/>
    <n v="8092.71"/>
    <n v="0.15"/>
    <n v="1398.63"/>
    <n v="6492.31"/>
    <n v="5093.68"/>
    <n v="0.22"/>
    <n v="1398.63"/>
    <n v="0.67779999999999996"/>
    <n v="0.62860000000000005"/>
    <n v="7.2599999999999998E-2"/>
    <n v="4.9200000000000001E-2"/>
  </r>
  <r>
    <x v="4"/>
    <x v="7"/>
    <n v="11442.22"/>
    <n v="9328.82"/>
    <n v="0.18"/>
    <n v="2113.4"/>
    <n v="8995.18"/>
    <n v="6881.78"/>
    <n v="0.23"/>
    <n v="2113.4"/>
    <n v="0.78059999999999996"/>
    <n v="0.73699999999999999"/>
    <n v="5.5899999999999998E-2"/>
    <n v="4.36E-2"/>
  </r>
  <r>
    <x v="4"/>
    <x v="8"/>
    <n v="11556.61"/>
    <n v="9371.41"/>
    <n v="0.19"/>
    <n v="2185.1999999999998"/>
    <n v="9072.0499999999993"/>
    <n v="6886.84"/>
    <n v="0.24"/>
    <n v="2185.1999999999998"/>
    <n v="0.77880000000000005"/>
    <n v="0.73409999999999997"/>
    <n v="5.7500000000000002E-2"/>
    <n v="4.4699999999999997E-2"/>
  </r>
  <r>
    <x v="4"/>
    <x v="9"/>
    <n v="15561.63"/>
    <n v="11904.08"/>
    <n v="0.24"/>
    <n v="3657.55"/>
    <n v="13993.12"/>
    <n v="10335.57"/>
    <n v="0.26"/>
    <n v="3657.55"/>
    <n v="0.89610000000000001"/>
    <n v="0.86750000000000005"/>
    <n v="3.1899999999999998E-2"/>
    <n v="2.86E-2"/>
  </r>
  <r>
    <x v="4"/>
    <x v="10"/>
    <n v="15689.63"/>
    <n v="11930.11"/>
    <n v="0.24"/>
    <n v="3759.52"/>
    <n v="14097.29"/>
    <n v="10337.780000000001"/>
    <n v="0.27"/>
    <n v="3759.52"/>
    <n v="0.89490000000000003"/>
    <n v="0.86599999999999999"/>
    <n v="3.2300000000000002E-2"/>
    <n v="2.8899999999999999E-2"/>
  </r>
  <r>
    <x v="5"/>
    <x v="0"/>
    <n v="6546.88"/>
    <n v="6468.37"/>
    <n v="0.01"/>
    <n v="78.52"/>
    <n v="683.78"/>
    <n v="605.26"/>
    <n v="0.11"/>
    <n v="78.52"/>
    <n v="0.1045"/>
    <n v="9.3799999999999994E-2"/>
    <n v="0.10290000000000001"/>
    <n v="1.0800000000000001E-2"/>
  </r>
  <r>
    <x v="5"/>
    <x v="1"/>
    <n v="7651.4"/>
    <n v="7482.72"/>
    <n v="0.02"/>
    <n v="168.69"/>
    <n v="1417.4"/>
    <n v="1248.71"/>
    <n v="0.12"/>
    <n v="168.69"/>
    <n v="0.1857"/>
    <n v="0.16769999999999999"/>
    <n v="9.7199999999999995E-2"/>
    <n v="1.7999999999999999E-2"/>
  </r>
  <r>
    <x v="5"/>
    <x v="2"/>
    <n v="8358.0499999999993"/>
    <n v="7940.03"/>
    <n v="0.05"/>
    <n v="418.02"/>
    <n v="2393.5500000000002"/>
    <n v="1975.53"/>
    <n v="0.17"/>
    <n v="418.02"/>
    <n v="0.28510000000000002"/>
    <n v="0.2495"/>
    <n v="0.125"/>
    <n v="3.5700000000000003E-2"/>
  </r>
  <r>
    <x v="5"/>
    <x v="3"/>
    <n v="9238.6200000000008"/>
    <n v="8514.2800000000007"/>
    <n v="0.08"/>
    <n v="724.34"/>
    <n v="3572.85"/>
    <n v="2848.51"/>
    <n v="0.2"/>
    <n v="724.34"/>
    <n v="0.38240000000000002"/>
    <n v="0.33439999999999998"/>
    <n v="0.12540000000000001"/>
    <n v="4.7899999999999998E-2"/>
  </r>
  <r>
    <x v="5"/>
    <x v="4"/>
    <n v="10173.49"/>
    <n v="9158.1200000000008"/>
    <n v="0.1"/>
    <n v="1015.37"/>
    <n v="4712.49"/>
    <n v="3697.11"/>
    <n v="0.22"/>
    <n v="1015.37"/>
    <n v="0.4577"/>
    <n v="0.40329999999999999"/>
    <n v="0.11890000000000001"/>
    <n v="5.4399999999999997E-2"/>
  </r>
  <r>
    <x v="5"/>
    <x v="5"/>
    <n v="10780.38"/>
    <n v="9699.6"/>
    <n v="0.1"/>
    <n v="1080.78"/>
    <n v="5542.17"/>
    <n v="4461.38"/>
    <n v="0.2"/>
    <n v="1080.78"/>
    <n v="0.5081"/>
    <n v="0.4592"/>
    <n v="9.6199999999999994E-2"/>
    <n v="4.8899999999999999E-2"/>
  </r>
  <r>
    <x v="5"/>
    <x v="6"/>
    <n v="11814.26"/>
    <n v="10353.629999999999"/>
    <n v="0.12"/>
    <n v="1460.63"/>
    <n v="6833.36"/>
    <n v="5372.73"/>
    <n v="0.21"/>
    <n v="1460.63"/>
    <n v="0.57220000000000004"/>
    <n v="0.51829999999999998"/>
    <n v="9.4200000000000006E-2"/>
    <n v="5.3900000000000003E-2"/>
  </r>
  <r>
    <x v="5"/>
    <x v="7"/>
    <n v="13228.45"/>
    <n v="11212.66"/>
    <n v="0.15"/>
    <n v="2015.79"/>
    <n v="8462.6200000000008"/>
    <n v="6446.83"/>
    <n v="0.24"/>
    <n v="2015.79"/>
    <n v="0.63400000000000001"/>
    <n v="0.5746"/>
    <n v="9.3600000000000003E-2"/>
    <n v="5.9400000000000001E-2"/>
  </r>
  <r>
    <x v="5"/>
    <x v="8"/>
    <n v="13281.28"/>
    <n v="11255.31"/>
    <n v="0.15"/>
    <n v="2025.97"/>
    <n v="8504.68"/>
    <n v="6478.71"/>
    <n v="0.24"/>
    <n v="2025.97"/>
    <n v="0.63360000000000005"/>
    <n v="0.57530000000000003"/>
    <n v="9.1899999999999996E-2"/>
    <n v="5.8200000000000002E-2"/>
  </r>
  <r>
    <x v="5"/>
    <x v="9"/>
    <n v="19644.71"/>
    <n v="15276.79"/>
    <n v="0.22"/>
    <n v="4367.91"/>
    <n v="16131.46"/>
    <n v="11763.55"/>
    <n v="0.27"/>
    <n v="4367.91"/>
    <n v="0.81589999999999996"/>
    <n v="0.76970000000000005"/>
    <n v="5.67E-2"/>
    <n v="4.6199999999999998E-2"/>
  </r>
  <r>
    <x v="5"/>
    <x v="10"/>
    <n v="19478.82"/>
    <n v="15287.49"/>
    <n v="0.22"/>
    <n v="4191.33"/>
    <n v="15954.71"/>
    <n v="11763.38"/>
    <n v="0.26"/>
    <n v="4191.33"/>
    <n v="0.81399999999999995"/>
    <n v="0.76910000000000001"/>
    <n v="5.5199999999999999E-2"/>
    <n v="4.4900000000000002E-2"/>
  </r>
  <r>
    <x v="5"/>
    <x v="11"/>
    <n v="27342.54"/>
    <n v="20710.439999999999"/>
    <n v="0.24"/>
    <n v="6632.11"/>
    <n v="25169.32"/>
    <n v="18537.22"/>
    <n v="0.26"/>
    <n v="6632.11"/>
    <n v="0.91790000000000005"/>
    <n v="0.89470000000000005"/>
    <n v="2.52E-2"/>
    <n v="2.3199999999999998E-2"/>
  </r>
  <r>
    <x v="6"/>
    <x v="0"/>
    <n v="7237.75"/>
    <n v="7169.24"/>
    <n v="0.01"/>
    <n v="68.510000000000005"/>
    <n v="567.73"/>
    <n v="499.22"/>
    <n v="0.12"/>
    <n v="68.510000000000005"/>
    <n v="7.8399999999999997E-2"/>
    <n v="6.9699999999999998E-2"/>
    <n v="0.1116"/>
    <n v="8.6999999999999994E-3"/>
  </r>
  <r>
    <x v="6"/>
    <x v="1"/>
    <n v="8601.84"/>
    <n v="8488.5400000000009"/>
    <n v="0.01"/>
    <n v="113.3"/>
    <n v="1143.73"/>
    <n v="1030.43"/>
    <n v="0.1"/>
    <n v="113.3"/>
    <n v="0.13300000000000001"/>
    <n v="0.1216"/>
    <n v="8.5300000000000001E-2"/>
    <n v="1.1299999999999999E-2"/>
  </r>
  <r>
    <x v="6"/>
    <x v="2"/>
    <n v="9523.4699999999993"/>
    <n v="9265.7000000000007"/>
    <n v="0.03"/>
    <n v="257.77"/>
    <n v="1983.29"/>
    <n v="1725.52"/>
    <n v="0.13"/>
    <n v="257.77"/>
    <n v="0.20810000000000001"/>
    <n v="0.1867"/>
    <n v="0.10249999999999999"/>
    <n v="2.1299999999999999E-2"/>
  </r>
  <r>
    <x v="6"/>
    <x v="3"/>
    <n v="10160.58"/>
    <n v="9674.2000000000007"/>
    <n v="0.05"/>
    <n v="486.38"/>
    <n v="3001.74"/>
    <n v="2515.36"/>
    <n v="0.16"/>
    <n v="486.38"/>
    <n v="0.29399999999999998"/>
    <n v="0.2606"/>
    <n v="0.1137"/>
    <n v="3.3399999999999999E-2"/>
  </r>
  <r>
    <x v="6"/>
    <x v="4"/>
    <n v="11148.32"/>
    <n v="10323.58"/>
    <n v="7.0000000000000007E-2"/>
    <n v="824.75"/>
    <n v="4203.41"/>
    <n v="3378.66"/>
    <n v="0.2"/>
    <n v="824.75"/>
    <n v="0.37309999999999999"/>
    <n v="0.32719999999999999"/>
    <n v="0.123"/>
    <n v="4.5900000000000003E-2"/>
  </r>
  <r>
    <x v="6"/>
    <x v="5"/>
    <n v="11772.64"/>
    <n v="10763.54"/>
    <n v="0.09"/>
    <n v="1009.1"/>
    <n v="5123.5600000000004"/>
    <n v="4114.46"/>
    <n v="0.2"/>
    <n v="1009.1"/>
    <n v="0.43090000000000001"/>
    <n v="0.38229999999999997"/>
    <n v="0.1129"/>
    <n v="4.87E-2"/>
  </r>
  <r>
    <x v="6"/>
    <x v="6"/>
    <n v="12669.47"/>
    <n v="11428.82"/>
    <n v="0.1"/>
    <n v="1240.6400000000001"/>
    <n v="6204.12"/>
    <n v="4963.4799999999996"/>
    <n v="0.2"/>
    <n v="1240.6400000000001"/>
    <n v="0.48420000000000002"/>
    <n v="0.43380000000000002"/>
    <n v="0.1042"/>
    <n v="5.04E-2"/>
  </r>
  <r>
    <x v="6"/>
    <x v="7"/>
    <n v="13542.48"/>
    <n v="12070.75"/>
    <n v="0.11"/>
    <n v="1471.72"/>
    <n v="7364.95"/>
    <n v="5893.23"/>
    <n v="0.2"/>
    <n v="1471.72"/>
    <n v="0.5383"/>
    <n v="0.48770000000000002"/>
    <n v="9.4E-2"/>
    <n v="5.0599999999999999E-2"/>
  </r>
  <r>
    <x v="6"/>
    <x v="8"/>
    <n v="15148.1"/>
    <n v="12992.46"/>
    <n v="0.14000000000000001"/>
    <n v="2155.64"/>
    <n v="9129.26"/>
    <n v="6973.63"/>
    <n v="0.24"/>
    <n v="2155.64"/>
    <n v="0.59599999999999997"/>
    <n v="0.53639999999999999"/>
    <n v="0.10009999999999999"/>
    <n v="5.9700000000000003E-2"/>
  </r>
  <r>
    <x v="6"/>
    <x v="9"/>
    <n v="20068.89"/>
    <n v="16363.86"/>
    <n v="0.18"/>
    <n v="3705.03"/>
    <n v="15161.17"/>
    <n v="11456.14"/>
    <n v="0.24"/>
    <n v="3705.03"/>
    <n v="0.74990000000000001"/>
    <n v="0.69979999999999998"/>
    <n v="6.6699999999999995E-2"/>
    <n v="0.05"/>
  </r>
  <r>
    <x v="6"/>
    <x v="10"/>
    <n v="25711.21"/>
    <n v="19904.5"/>
    <n v="0.23"/>
    <n v="5806.72"/>
    <n v="21657.06"/>
    <n v="15850.34"/>
    <n v="0.27"/>
    <n v="5806.72"/>
    <n v="0.83750000000000002"/>
    <n v="0.79600000000000004"/>
    <n v="4.9599999999999998E-2"/>
    <n v="4.1500000000000002E-2"/>
  </r>
  <r>
    <x v="6"/>
    <x v="11"/>
    <n v="36024.239999999998"/>
    <n v="26781.34"/>
    <n v="0.26"/>
    <n v="9242.9"/>
    <n v="33443.32"/>
    <n v="24200.42"/>
    <n v="0.28000000000000003"/>
    <n v="9242.9"/>
    <n v="0.92589999999999995"/>
    <n v="0.90339999999999998"/>
    <n v="2.4299999999999999E-2"/>
    <n v="2.2499999999999999E-2"/>
  </r>
  <r>
    <x v="7"/>
    <x v="0"/>
    <n v="8795.31"/>
    <n v="8746.2000000000007"/>
    <n v="0.01"/>
    <n v="49.11"/>
    <n v="414.31"/>
    <n v="365.2"/>
    <n v="0.12"/>
    <n v="49.11"/>
    <n v="4.7100000000000003E-2"/>
    <n v="4.1700000000000001E-2"/>
    <n v="0.1132"/>
    <n v="5.3E-3"/>
  </r>
  <r>
    <x v="7"/>
    <x v="1"/>
    <n v="10271.89"/>
    <n v="10192.02"/>
    <n v="0.01"/>
    <n v="79.87"/>
    <n v="809.95"/>
    <n v="730.07"/>
    <n v="0.1"/>
    <n v="79.87"/>
    <n v="7.8799999999999995E-2"/>
    <n v="7.17E-2"/>
    <n v="0.09"/>
    <n v="7.1000000000000004E-3"/>
  </r>
  <r>
    <x v="7"/>
    <x v="2"/>
    <n v="11796.41"/>
    <n v="11673.88"/>
    <n v="0.01"/>
    <n v="122.53"/>
    <n v="1356.35"/>
    <n v="1233.82"/>
    <n v="0.09"/>
    <n v="122.53"/>
    <n v="0.115"/>
    <n v="0.10589999999999999"/>
    <n v="7.8700000000000006E-2"/>
    <n v="8.9999999999999993E-3"/>
  </r>
  <r>
    <x v="7"/>
    <x v="3"/>
    <n v="12893.9"/>
    <n v="12707.52"/>
    <n v="0.01"/>
    <n v="186.38"/>
    <n v="2027.28"/>
    <n v="1840.9"/>
    <n v="0.09"/>
    <n v="186.38"/>
    <n v="0.15770000000000001"/>
    <n v="0.1457"/>
    <n v="7.6300000000000007E-2"/>
    <n v="1.2E-2"/>
  </r>
  <r>
    <x v="7"/>
    <x v="4"/>
    <n v="13704.78"/>
    <n v="13375.68"/>
    <n v="0.02"/>
    <n v="329.1"/>
    <n v="2913.98"/>
    <n v="2584.88"/>
    <n v="0.11"/>
    <n v="329.1"/>
    <n v="0.21290000000000001"/>
    <n v="0.19420000000000001"/>
    <n v="8.7900000000000006E-2"/>
    <n v="1.8700000000000001E-2"/>
  </r>
  <r>
    <x v="7"/>
    <x v="5"/>
    <n v="14155.98"/>
    <n v="13584.25"/>
    <n v="0.04"/>
    <n v="571.73"/>
    <n v="3917.84"/>
    <n v="3346.11"/>
    <n v="0.15"/>
    <n v="571.73"/>
    <n v="0.27589999999999998"/>
    <n v="0.24709999999999999"/>
    <n v="0.1045"/>
    <n v="2.8799999999999999E-2"/>
  </r>
  <r>
    <x v="7"/>
    <x v="6"/>
    <n v="14877.22"/>
    <n v="14046.82"/>
    <n v="0.06"/>
    <n v="830.4"/>
    <n v="4899.76"/>
    <n v="4069.36"/>
    <n v="0.17"/>
    <n v="830.4"/>
    <n v="0.32729999999999998"/>
    <n v="0.29010000000000002"/>
    <n v="0.11360000000000001"/>
    <n v="3.7199999999999997E-2"/>
  </r>
  <r>
    <x v="7"/>
    <x v="7"/>
    <n v="15345.02"/>
    <n v="14431.48"/>
    <n v="0.06"/>
    <n v="913.54"/>
    <n v="5650.98"/>
    <n v="4737.43"/>
    <n v="0.16"/>
    <n v="913.54"/>
    <n v="0.3664"/>
    <n v="0.32929999999999998"/>
    <n v="0.1013"/>
    <n v="3.7100000000000001E-2"/>
  </r>
  <r>
    <x v="7"/>
    <x v="8"/>
    <n v="16626.23"/>
    <n v="15271.07"/>
    <n v="0.08"/>
    <n v="1355.16"/>
    <n v="7233.26"/>
    <n v="5878.1"/>
    <n v="0.19"/>
    <n v="1355.16"/>
    <n v="0.4304"/>
    <n v="0.3846"/>
    <n v="0.1065"/>
    <n v="4.58E-2"/>
  </r>
  <r>
    <x v="7"/>
    <x v="9"/>
    <n v="21358.02"/>
    <n v="18682.36"/>
    <n v="0.13"/>
    <n v="2675.66"/>
    <n v="12975.72"/>
    <n v="10300.06"/>
    <n v="0.21"/>
    <n v="2675.66"/>
    <n v="0.60129999999999995"/>
    <n v="0.55079999999999996"/>
    <n v="8.4000000000000005E-2"/>
    <n v="5.0500000000000003E-2"/>
  </r>
  <r>
    <x v="7"/>
    <x v="10"/>
    <n v="27179.27"/>
    <n v="22251.5"/>
    <n v="0.18"/>
    <n v="4927.7700000000004"/>
    <n v="19913.75"/>
    <n v="14985.98"/>
    <n v="0.25"/>
    <n v="4927.7700000000004"/>
    <n v="0.72650000000000003"/>
    <n v="0.67320000000000002"/>
    <n v="7.3400000000000007E-2"/>
    <n v="5.33E-2"/>
  </r>
  <r>
    <x v="7"/>
    <x v="11"/>
    <n v="32387.68"/>
    <n v="25709.37"/>
    <n v="0.21"/>
    <n v="6678.32"/>
    <n v="25995.19"/>
    <n v="19316.88"/>
    <n v="0.26"/>
    <n v="6678.32"/>
    <n v="0.79769999999999996"/>
    <n v="0.75119999999999998"/>
    <n v="5.8299999999999998E-2"/>
    <n v="4.65E-2"/>
  </r>
  <r>
    <x v="7"/>
    <x v="12"/>
    <n v="59369.22"/>
    <n v="43894.559999999998"/>
    <n v="0.26"/>
    <n v="15474.66"/>
    <n v="56033.57"/>
    <n v="40558.910000000003"/>
    <n v="0.28000000000000003"/>
    <n v="15474.66"/>
    <n v="0.94179999999999997"/>
    <n v="0.92390000000000005"/>
    <n v="1.9E-2"/>
    <n v="1.7899999999999999E-2"/>
  </r>
  <r>
    <x v="8"/>
    <x v="0"/>
    <n v="11989.65"/>
    <n v="11954.18"/>
    <n v="0"/>
    <n v="35.47"/>
    <n v="296.87"/>
    <n v="261.39999999999998"/>
    <n v="0.12"/>
    <n v="35.47"/>
    <n v="2.4799999999999999E-2"/>
    <n v="2.1899999999999999E-2"/>
    <n v="0.1166"/>
    <n v="2.8999999999999998E-3"/>
  </r>
  <r>
    <x v="8"/>
    <x v="1"/>
    <n v="13296.43"/>
    <n v="13249.2"/>
    <n v="0"/>
    <n v="47.23"/>
    <n v="538.65"/>
    <n v="491.42"/>
    <n v="0.09"/>
    <n v="47.23"/>
    <n v="4.0500000000000001E-2"/>
    <n v="3.7100000000000001E-2"/>
    <n v="8.4000000000000005E-2"/>
    <n v="3.3999999999999998E-3"/>
  </r>
  <r>
    <x v="8"/>
    <x v="2"/>
    <n v="14803.92"/>
    <n v="14735.2"/>
    <n v="0"/>
    <n v="68.72"/>
    <n v="865.98"/>
    <n v="797.26"/>
    <n v="0.08"/>
    <n v="68.72"/>
    <n v="5.8500000000000003E-2"/>
    <n v="5.4100000000000002E-2"/>
    <n v="7.4099999999999999E-2"/>
    <n v="4.3E-3"/>
  </r>
  <r>
    <x v="8"/>
    <x v="3"/>
    <n v="16483.12"/>
    <n v="16381.67"/>
    <n v="0.01"/>
    <n v="101.45"/>
    <n v="1242.0899999999999"/>
    <n v="1140.6400000000001"/>
    <n v="0.08"/>
    <n v="101.45"/>
    <n v="7.5300000000000006E-2"/>
    <n v="6.9699999999999998E-2"/>
    <n v="7.4399999999999994E-2"/>
    <n v="5.5999999999999999E-3"/>
  </r>
  <r>
    <x v="8"/>
    <x v="4"/>
    <n v="17984.28"/>
    <n v="17872.400000000001"/>
    <n v="0.01"/>
    <n v="111.89"/>
    <n v="1669.23"/>
    <n v="1557.34"/>
    <n v="7.0000000000000007E-2"/>
    <n v="111.89"/>
    <n v="9.2799999999999994E-2"/>
    <n v="8.7300000000000003E-2"/>
    <n v="0.06"/>
    <n v="5.5999999999999999E-3"/>
  </r>
  <r>
    <x v="8"/>
    <x v="5"/>
    <n v="19428.23"/>
    <n v="19271.8"/>
    <n v="0.01"/>
    <n v="156.44"/>
    <n v="2239.59"/>
    <n v="2083.15"/>
    <n v="7.0000000000000007E-2"/>
    <n v="156.44"/>
    <n v="0.1154"/>
    <n v="0.1085"/>
    <n v="6.0499999999999998E-2"/>
    <n v="7.0000000000000001E-3"/>
  </r>
  <r>
    <x v="8"/>
    <x v="6"/>
    <n v="20925.34"/>
    <n v="20673.41"/>
    <n v="0.01"/>
    <n v="251.93"/>
    <n v="2931.82"/>
    <n v="2679.89"/>
    <n v="0.09"/>
    <n v="251.93"/>
    <n v="0.1404"/>
    <n v="0.1303"/>
    <n v="7.2099999999999997E-2"/>
    <n v="1.01E-2"/>
  </r>
  <r>
    <x v="8"/>
    <x v="7"/>
    <n v="21745.84"/>
    <n v="21401.32"/>
    <n v="0.02"/>
    <n v="344.51"/>
    <n v="3685.51"/>
    <n v="3341"/>
    <n v="0.09"/>
    <n v="344.51"/>
    <n v="0.17019999999999999"/>
    <n v="0.15740000000000001"/>
    <n v="7.5300000000000006E-2"/>
    <n v="1.2800000000000001E-2"/>
  </r>
  <r>
    <x v="8"/>
    <x v="8"/>
    <n v="22532.799999999999"/>
    <n v="22073.5"/>
    <n v="0.02"/>
    <n v="459.3"/>
    <n v="4475.18"/>
    <n v="4015.88"/>
    <n v="0.1"/>
    <n v="459.3"/>
    <n v="0.1993"/>
    <n v="0.18329999999999999"/>
    <n v="8.0600000000000005E-2"/>
    <n v="1.61E-2"/>
  </r>
  <r>
    <x v="8"/>
    <x v="9"/>
    <n v="24987.61"/>
    <n v="23646.99"/>
    <n v="0.05"/>
    <n v="1340.62"/>
    <n v="9141.85"/>
    <n v="7801.23"/>
    <n v="0.15"/>
    <n v="1340.62"/>
    <n v="0.36399999999999999"/>
    <n v="0.3306"/>
    <n v="9.1600000000000001E-2"/>
    <n v="3.3399999999999999E-2"/>
  </r>
  <r>
    <x v="8"/>
    <x v="10"/>
    <n v="30175.69"/>
    <n v="27090.21"/>
    <n v="0.1"/>
    <n v="3085.48"/>
    <n v="15691.61"/>
    <n v="12606.12"/>
    <n v="0.2"/>
    <n v="3085.48"/>
    <n v="0.51480000000000004"/>
    <n v="0.4652"/>
    <n v="9.64E-2"/>
    <n v="4.9599999999999998E-2"/>
  </r>
  <r>
    <x v="8"/>
    <x v="11"/>
    <n v="39066.49"/>
    <n v="33135.08"/>
    <n v="0.15"/>
    <n v="5931.41"/>
    <n v="26707.53"/>
    <n v="20776.11"/>
    <n v="0.22"/>
    <n v="5931.41"/>
    <n v="0.67769999999999997"/>
    <n v="0.62680000000000002"/>
    <n v="7.51E-2"/>
    <n v="5.0900000000000001E-2"/>
  </r>
  <r>
    <x v="8"/>
    <x v="12"/>
    <n v="61981.09"/>
    <n v="48423.57"/>
    <n v="0.22"/>
    <n v="13557.52"/>
    <n v="52865.79"/>
    <n v="39308.269999999997"/>
    <n v="0.26"/>
    <n v="13557.52"/>
    <n v="0.84889999999999999"/>
    <n v="0.81169999999999998"/>
    <n v="4.3799999999999999E-2"/>
    <n v="3.7199999999999997E-2"/>
  </r>
  <r>
    <x v="9"/>
    <x v="0"/>
    <n v="16812.21"/>
    <n v="16790.07"/>
    <n v="0"/>
    <n v="22.14"/>
    <n v="208.63"/>
    <n v="186.48"/>
    <n v="0.11"/>
    <n v="22.14"/>
    <n v="1.24E-2"/>
    <n v="1.11E-2"/>
    <n v="0.10489999999999999"/>
    <n v="1.2999999999999999E-3"/>
  </r>
  <r>
    <x v="9"/>
    <x v="1"/>
    <n v="18320.669999999998"/>
    <n v="18291.900000000001"/>
    <n v="0"/>
    <n v="28.77"/>
    <n v="381.64"/>
    <n v="352.87"/>
    <n v="0.08"/>
    <n v="28.77"/>
    <n v="2.0799999999999999E-2"/>
    <n v="1.9300000000000001E-2"/>
    <n v="7.3800000000000004E-2"/>
    <n v="1.5E-3"/>
  </r>
  <r>
    <x v="9"/>
    <x v="2"/>
    <n v="19649.759999999998"/>
    <n v="19610.39"/>
    <n v="0"/>
    <n v="39.369999999999997"/>
    <n v="601.99"/>
    <n v="562.62"/>
    <n v="7.0000000000000007E-2"/>
    <n v="39.369999999999997"/>
    <n v="3.0599999999999999E-2"/>
    <n v="2.87E-2"/>
    <n v="6.3299999999999995E-2"/>
    <n v="1.9E-3"/>
  </r>
  <r>
    <x v="9"/>
    <x v="3"/>
    <n v="21076.53"/>
    <n v="21024.98"/>
    <n v="0"/>
    <n v="51.55"/>
    <n v="829.91"/>
    <n v="778.35"/>
    <n v="0.06"/>
    <n v="51.55"/>
    <n v="3.9399999999999998E-2"/>
    <n v="3.6999999999999998E-2"/>
    <n v="5.9499999999999997E-2"/>
    <n v="2.3E-3"/>
  </r>
  <r>
    <x v="9"/>
    <x v="4"/>
    <n v="22673.33"/>
    <n v="22603.67"/>
    <n v="0"/>
    <n v="69.66"/>
    <n v="1105.71"/>
    <n v="1036.05"/>
    <n v="0.06"/>
    <n v="69.66"/>
    <n v="4.87E-2"/>
    <n v="4.58E-2"/>
    <n v="5.9499999999999997E-2"/>
    <n v="2.8999999999999998E-3"/>
  </r>
  <r>
    <x v="9"/>
    <x v="5"/>
    <n v="24350.51"/>
    <n v="24246.560000000001"/>
    <n v="0"/>
    <n v="103.95"/>
    <n v="1434.81"/>
    <n v="1330.86"/>
    <n v="7.0000000000000007E-2"/>
    <n v="103.95"/>
    <n v="5.8799999999999998E-2"/>
    <n v="5.4899999999999997E-2"/>
    <n v="6.7400000000000002E-2"/>
    <n v="4.0000000000000001E-3"/>
  </r>
  <r>
    <x v="9"/>
    <x v="6"/>
    <n v="26091.19"/>
    <n v="25975.45"/>
    <n v="0"/>
    <n v="115.74"/>
    <n v="1759.08"/>
    <n v="1643.34"/>
    <n v="7.0000000000000007E-2"/>
    <n v="115.74"/>
    <n v="6.7400000000000002E-2"/>
    <n v="6.3299999999999995E-2"/>
    <n v="6.0600000000000001E-2"/>
    <n v="4.1000000000000003E-3"/>
  </r>
  <r>
    <x v="9"/>
    <x v="7"/>
    <n v="27784.65"/>
    <n v="27654.74"/>
    <n v="0"/>
    <n v="129.91"/>
    <n v="2144.4299999999998"/>
    <n v="2014.52"/>
    <n v="0.06"/>
    <n v="129.91"/>
    <n v="7.7100000000000002E-2"/>
    <n v="7.2900000000000006E-2"/>
    <n v="5.4899999999999997E-2"/>
    <n v="4.1999999999999997E-3"/>
  </r>
  <r>
    <x v="9"/>
    <x v="8"/>
    <n v="29471.3"/>
    <n v="29305.98"/>
    <n v="0.01"/>
    <n v="165.32"/>
    <n v="2578.0700000000002"/>
    <n v="2412.75"/>
    <n v="0.06"/>
    <n v="165.31"/>
    <n v="8.7400000000000005E-2"/>
    <n v="8.2400000000000001E-2"/>
    <n v="5.74E-2"/>
    <n v="5.0000000000000001E-3"/>
  </r>
  <r>
    <x v="9"/>
    <x v="9"/>
    <n v="36345.83"/>
    <n v="35901.660000000003"/>
    <n v="0.01"/>
    <n v="444.17"/>
    <n v="5667.64"/>
    <n v="5223.47"/>
    <n v="0.08"/>
    <n v="444.17"/>
    <n v="0.1565"/>
    <n v="0.14649999999999999"/>
    <n v="6.4199999999999993E-2"/>
    <n v="0.01"/>
  </r>
  <r>
    <x v="9"/>
    <x v="10"/>
    <n v="39642.44"/>
    <n v="38309.040000000001"/>
    <n v="0.03"/>
    <n v="1333.41"/>
    <n v="10497.49"/>
    <n v="9164.08"/>
    <n v="0.13"/>
    <n v="1333.41"/>
    <n v="0.26500000000000001"/>
    <n v="0.24079999999999999"/>
    <n v="9.1200000000000003E-2"/>
    <n v="2.4199999999999999E-2"/>
  </r>
  <r>
    <x v="9"/>
    <x v="11"/>
    <n v="44979.44"/>
    <n v="41434.07"/>
    <n v="0.08"/>
    <n v="3545.37"/>
    <n v="20125.919999999998"/>
    <n v="16580.54"/>
    <n v="0.18"/>
    <n v="3545.37"/>
    <n v="0.44350000000000001"/>
    <n v="0.40029999999999999"/>
    <n v="9.7500000000000003E-2"/>
    <n v="4.3200000000000002E-2"/>
  </r>
  <r>
    <x v="9"/>
    <x v="12"/>
    <n v="74288.52"/>
    <n v="61346.57"/>
    <n v="0.17"/>
    <n v="12941.95"/>
    <n v="56019.48"/>
    <n v="43077.53"/>
    <n v="0.23"/>
    <n v="12941.95"/>
    <n v="0.74829999999999997"/>
    <n v="0.70199999999999996"/>
    <n v="6.1899999999999997E-2"/>
    <n v="4.6399999999999997E-2"/>
  </r>
  <r>
    <x v="10"/>
    <x v="0"/>
    <n v="23503.63"/>
    <n v="23487.29"/>
    <n v="0"/>
    <n v="16.350000000000001"/>
    <n v="148.01"/>
    <n v="131.66"/>
    <n v="0.11"/>
    <n v="16.350000000000001"/>
    <n v="6.3E-3"/>
    <n v="5.5999999999999999E-3"/>
    <n v="0.10970000000000001"/>
    <n v="6.9999999999999999E-4"/>
  </r>
  <r>
    <x v="10"/>
    <x v="1"/>
    <n v="25616.46"/>
    <n v="25594.39"/>
    <n v="0"/>
    <n v="22.07"/>
    <n v="272.86"/>
    <n v="250.79"/>
    <n v="0.08"/>
    <n v="22.07"/>
    <n v="1.0699999999999999E-2"/>
    <n v="9.7999999999999997E-3"/>
    <n v="8.0100000000000005E-2"/>
    <n v="8.9999999999999998E-4"/>
  </r>
  <r>
    <x v="10"/>
    <x v="2"/>
    <n v="27412.7"/>
    <n v="27386.14"/>
    <n v="0"/>
    <n v="26.56"/>
    <n v="417.93"/>
    <n v="391.37"/>
    <n v="0.06"/>
    <n v="26.56"/>
    <n v="1.52E-2"/>
    <n v="1.43E-2"/>
    <n v="6.25E-2"/>
    <n v="1E-3"/>
  </r>
  <r>
    <x v="10"/>
    <x v="3"/>
    <n v="28895.16"/>
    <n v="28862.82"/>
    <n v="0"/>
    <n v="32.340000000000003"/>
    <n v="591.05999999999995"/>
    <n v="558.72"/>
    <n v="0.05"/>
    <n v="32.340000000000003"/>
    <n v="2.0500000000000001E-2"/>
    <n v="1.9400000000000001E-2"/>
    <n v="5.3400000000000003E-2"/>
    <n v="1.1000000000000001E-3"/>
  </r>
  <r>
    <x v="10"/>
    <x v="4"/>
    <n v="30354.52"/>
    <n v="30312.98"/>
    <n v="0"/>
    <n v="41.54"/>
    <n v="774.77"/>
    <n v="733.23"/>
    <n v="0.05"/>
    <n v="41.54"/>
    <n v="2.5499999999999998E-2"/>
    <n v="2.4199999999999999E-2"/>
    <n v="5.21E-2"/>
    <n v="1.2999999999999999E-3"/>
  </r>
  <r>
    <x v="10"/>
    <x v="5"/>
    <n v="31908.81"/>
    <n v="31861.63"/>
    <n v="0"/>
    <n v="47.18"/>
    <n v="985.08"/>
    <n v="937.91"/>
    <n v="0.05"/>
    <n v="47.18"/>
    <n v="3.09E-2"/>
    <n v="2.9399999999999999E-2"/>
    <n v="4.6300000000000001E-2"/>
    <n v="1.4E-3"/>
  </r>
  <r>
    <x v="10"/>
    <x v="6"/>
    <n v="33395.919999999998"/>
    <n v="33341.39"/>
    <n v="0"/>
    <n v="54.53"/>
    <n v="1198.06"/>
    <n v="1143.53"/>
    <n v="0.05"/>
    <n v="54.53"/>
    <n v="3.5900000000000001E-2"/>
    <n v="3.4299999999999997E-2"/>
    <n v="4.3700000000000003E-2"/>
    <n v="1.6000000000000001E-3"/>
  </r>
  <r>
    <x v="10"/>
    <x v="7"/>
    <n v="35025.42"/>
    <n v="34955.72"/>
    <n v="0"/>
    <n v="69.7"/>
    <n v="1448.82"/>
    <n v="1379.12"/>
    <n v="0.05"/>
    <n v="69.7"/>
    <n v="4.1300000000000003E-2"/>
    <n v="3.95E-2"/>
    <n v="4.5699999999999998E-2"/>
    <n v="1.9E-3"/>
  </r>
  <r>
    <x v="10"/>
    <x v="8"/>
    <n v="36662.14"/>
    <n v="36572.239999999998"/>
    <n v="0"/>
    <n v="89.9"/>
    <n v="1707.34"/>
    <n v="1617.45"/>
    <n v="0.05"/>
    <n v="89.9"/>
    <n v="4.65E-2"/>
    <n v="4.4200000000000003E-2"/>
    <n v="4.9700000000000001E-2"/>
    <n v="2.3E-3"/>
  </r>
  <r>
    <x v="10"/>
    <x v="9"/>
    <n v="45742.68"/>
    <n v="45556.49"/>
    <n v="0"/>
    <n v="186.19"/>
    <n v="3316.07"/>
    <n v="3129.87"/>
    <n v="0.06"/>
    <n v="186.19"/>
    <n v="7.2400000000000006E-2"/>
    <n v="6.8699999999999997E-2"/>
    <n v="5.0999999999999997E-2"/>
    <n v="3.7000000000000002E-3"/>
  </r>
  <r>
    <x v="10"/>
    <x v="10"/>
    <n v="54115.040000000001"/>
    <n v="53778.95"/>
    <n v="0.01"/>
    <n v="336.09"/>
    <n v="5616.95"/>
    <n v="5280.86"/>
    <n v="0.06"/>
    <n v="336.09"/>
    <n v="0.1038"/>
    <n v="9.8400000000000001E-2"/>
    <n v="5.21E-2"/>
    <n v="5.4000000000000003E-3"/>
  </r>
  <r>
    <x v="10"/>
    <x v="11"/>
    <n v="65505.13"/>
    <n v="64225.46"/>
    <n v="0.02"/>
    <n v="1279.67"/>
    <n v="13240.47"/>
    <n v="11960.81"/>
    <n v="0.1"/>
    <n v="1279.67"/>
    <n v="0.2029"/>
    <n v="0.18779999999999999"/>
    <n v="7.4700000000000003E-2"/>
    <n v="1.52E-2"/>
  </r>
  <r>
    <x v="10"/>
    <x v="12"/>
    <n v="82071.09"/>
    <n v="74380.03"/>
    <n v="0.09"/>
    <n v="7691.06"/>
    <n v="43599.94"/>
    <n v="35908.879999999997"/>
    <n v="0.18"/>
    <n v="7691.06"/>
    <n v="0.5262"/>
    <n v="0.48259999999999997"/>
    <n v="8.2799999999999999E-2"/>
    <n v="4.36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80537-7487-481C-A1E5-853E9D6EEDC8}" name="Συγκεντρωτικός Πίνακας1" cacheId="0" applyNumberFormats="0" applyBorderFormats="0" applyFontFormats="0" applyPatternFormats="0" applyAlignmentFormats="0" applyWidthHeightFormats="1" dataCaption="Τιμές" grandTotalCaption="Average" updatedVersion="8" minRefreshableVersion="3" useAutoFormatting="1" itemPrintTitles="1" createdVersion="8" indent="0" outline="1" outlineData="1" multipleFieldFilters="0" chartFormat="4">
  <location ref="A4:D18" firstHeaderRow="0" firstDataRow="1" firstDataCol="1"/>
  <pivotFields count="14">
    <pivotField axis="axisRow" showAll="0">
      <items count="12">
        <item sd="0" x="0"/>
        <item sd="0" x="1"/>
        <item sd="0" x="2"/>
        <item sd="0" x="5"/>
        <item sd="0" x="6"/>
        <item sd="0" x="7"/>
        <item x="3"/>
        <item x="4"/>
        <item x="8"/>
        <item x="9"/>
        <item x="10"/>
        <item t="default" sd="0"/>
      </items>
    </pivotField>
    <pivotField axis="axisRow" showAll="0">
      <items count="15">
        <item sd="0" m="1" x="13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 sd="0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</pivotFields>
  <rowFields count="2">
    <field x="1"/>
    <field x="0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PD" fld="8" subtotal="average" baseField="0" baseItem="0" numFmtId="9"/>
    <dataField name="Distance" fld="4" subtotal="average" baseField="0" baseItem="0" numFmtId="9"/>
    <dataField name="SPF" fld="12" subtotal="average" baseField="1" baseItem="0" numFmtId="9"/>
  </dataFields>
  <chartFormats count="6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496F1-2F38-4F2E-867C-0FDC55FEF315}" name="Συγκεντρωτικός Πίνακας1" cacheId="0" applyNumberFormats="0" applyBorderFormats="0" applyFontFormats="0" applyPatternFormats="0" applyAlignmentFormats="0" applyWidthHeightFormats="1" dataCaption="Τιμές" grandTotalCaption="Average" updatedVersion="8" minRefreshableVersion="3" useAutoFormatting="1" itemPrintTitles="1" createdVersion="8" indent="0" outline="1" outlineData="1" multipleFieldFilters="0" chartFormat="1">
  <location ref="A5:D17" firstHeaderRow="0" firstDataRow="1" firstDataCol="1"/>
  <pivotFields count="14">
    <pivotField axis="axisRow" showAll="0" sortType="ascending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 sd="0"/>
      </items>
    </pivotField>
    <pivotField axis="axisRow" showAll="0">
      <items count="15">
        <item m="1"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</pivotFields>
  <rowFields count="2">
    <field x="0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PD" fld="8" subtotal="average" baseField="0" baseItem="0" numFmtId="9"/>
    <dataField name="Distance" fld="4" subtotal="average" baseField="0" baseItem="0" numFmtId="9"/>
    <dataField name="SPF" fld="12" subtotal="average" baseField="0" baseItem="0" numFmtId="9"/>
  </dataFields>
  <chartFormats count="3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3D7E4E-353B-49E4-B66E-4783BBA38C14}" name="Merged_1" displayName="Merged_1" ref="A2:N119" totalsRowShown="0">
  <autoFilter ref="A2:N119" xr:uid="{473D7E4E-353B-49E4-B66E-4783BBA38C14}"/>
  <sortState xmlns:xlrd2="http://schemas.microsoft.com/office/spreadsheetml/2017/richdata2" ref="A3:N3">
    <sortCondition ref="A2:A3"/>
  </sortState>
  <tableColumns count="14">
    <tableColumn id="1" xr3:uid="{38AB3CA8-F72A-4E93-B1EE-CFD7C6A2CA35}" name="Stations"/>
    <tableColumn id="2" xr3:uid="{063ABD24-8B7A-4CC2-8544-13D2638E9634}" name="Drones"/>
    <tableColumn id="5" xr3:uid="{A6BD9F12-1F19-4B10-8D56-AE817176785A}" name="Optimised.Distance" dataDxfId="11"/>
    <tableColumn id="6" xr3:uid="{52DED7F0-7B95-4842-886E-F040D941A919}" name="Center.Distance" dataDxfId="10"/>
    <tableColumn id="10" xr3:uid="{D2FDD44C-7E90-4089-92F0-1040BE655B39}" name="Distance Imrovement" dataDxfId="9"/>
    <tableColumn id="12" xr3:uid="{1EBAB775-CB85-49B2-9440-B1E63EEB0EBD}" name="Diff Distance" dataDxfId="8"/>
    <tableColumn id="7" xr3:uid="{94FBA651-0270-4C1B-AE72-73DC67F67730}" name="Optimised.SPD.Avg" dataDxfId="7"/>
    <tableColumn id="8" xr3:uid="{D782C6EE-35C6-4871-A5BD-9D7794D841BB}" name="Center.SPD.Avg" dataDxfId="6"/>
    <tableColumn id="11" xr3:uid="{C52B2094-1A72-484D-B8C6-2CAA3DF3ECB7}" name="SPD Impovement" dataDxfId="5"/>
    <tableColumn id="13" xr3:uid="{A5F5A803-C3AB-48F6-B904-AE40AA462A19}" name="Diff SPD" dataDxfId="4"/>
    <tableColumn id="3" xr3:uid="{633E86AD-9992-4B2C-A874-EEA283651577}" name="Optimised.SPF.Avg" dataDxfId="3"/>
    <tableColumn id="4" xr3:uid="{8D8AECC6-A42A-48CB-8A07-B33C88760E05}" name="Center.SPF.Avg" dataDxfId="2"/>
    <tableColumn id="9" xr3:uid="{DE6BADC2-5FDE-499C-BF52-947A4CAE88BA}" name="SPF Imrovement" dataDxfId="1"/>
    <tableColumn id="14" xr3:uid="{1307E0FE-1DBF-4F2B-8952-F10DBF606E25}" name="Diff SPF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47B5-70BA-42D5-84FE-59054B2947BE}">
  <dimension ref="A1:T18"/>
  <sheetViews>
    <sheetView workbookViewId="0">
      <selection activeCell="Q15" sqref="Q15"/>
    </sheetView>
  </sheetViews>
  <sheetFormatPr defaultRowHeight="14.25" x14ac:dyDescent="0.45"/>
  <cols>
    <col min="1" max="1" width="12.06640625" bestFit="1" customWidth="1"/>
    <col min="2" max="2" width="4.1328125" bestFit="1" customWidth="1"/>
    <col min="3" max="3" width="7.6640625" bestFit="1" customWidth="1"/>
    <col min="4" max="4" width="4.1328125" bestFit="1" customWidth="1"/>
    <col min="9" max="9" width="12.33203125" bestFit="1" customWidth="1"/>
    <col min="10" max="10" width="11.53125" bestFit="1" customWidth="1"/>
    <col min="11" max="11" width="13.796875" bestFit="1" customWidth="1"/>
    <col min="12" max="12" width="5.73046875" bestFit="1" customWidth="1"/>
    <col min="13" max="13" width="11.59765625" customWidth="1"/>
    <col min="14" max="14" width="12.33203125" bestFit="1" customWidth="1"/>
    <col min="15" max="15" width="11.73046875" bestFit="1" customWidth="1"/>
    <col min="16" max="16" width="13.796875" bestFit="1" customWidth="1"/>
    <col min="17" max="17" width="11.73046875" bestFit="1" customWidth="1"/>
  </cols>
  <sheetData>
    <row r="1" spans="1:20" ht="23.25" x14ac:dyDescent="0.7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ht="15.75" x14ac:dyDescent="0.5">
      <c r="A2" s="7"/>
    </row>
    <row r="4" spans="1:20" x14ac:dyDescent="0.45">
      <c r="A4" s="1" t="s">
        <v>15</v>
      </c>
      <c r="B4" t="s">
        <v>14</v>
      </c>
      <c r="C4" t="s">
        <v>2</v>
      </c>
      <c r="D4" t="s">
        <v>9</v>
      </c>
    </row>
    <row r="5" spans="1:20" x14ac:dyDescent="0.45">
      <c r="A5" s="2">
        <v>2</v>
      </c>
      <c r="B5" s="3">
        <v>0.17272727272727276</v>
      </c>
      <c r="C5" s="3">
        <v>4.9090909090909095E-2</v>
      </c>
      <c r="D5" s="3">
        <v>0.12920909090909091</v>
      </c>
    </row>
    <row r="6" spans="1:20" x14ac:dyDescent="0.45">
      <c r="A6" s="2">
        <v>3</v>
      </c>
      <c r="B6" s="3">
        <v>0.16909090909090915</v>
      </c>
      <c r="C6" s="3">
        <v>7.0000000000000007E-2</v>
      </c>
      <c r="D6" s="3">
        <v>0.10078181818181818</v>
      </c>
    </row>
    <row r="7" spans="1:20" x14ac:dyDescent="0.45">
      <c r="A7" s="2">
        <v>4</v>
      </c>
      <c r="B7" s="3">
        <v>0.17090909090909093</v>
      </c>
      <c r="C7" s="3">
        <v>8.2727272727272746E-2</v>
      </c>
      <c r="D7" s="3">
        <v>9.0354545454545465E-2</v>
      </c>
    </row>
    <row r="8" spans="1:20" x14ac:dyDescent="0.45">
      <c r="A8" s="2">
        <v>5</v>
      </c>
      <c r="B8" s="3">
        <v>0.17700000000000002</v>
      </c>
      <c r="C8" s="3">
        <v>9.4E-2</v>
      </c>
      <c r="D8" s="3">
        <v>8.8970000000000007E-2</v>
      </c>
    </row>
    <row r="9" spans="1:20" x14ac:dyDescent="0.45">
      <c r="A9" s="2">
        <v>6</v>
      </c>
      <c r="B9" s="3">
        <v>0.18300000000000002</v>
      </c>
      <c r="C9" s="3">
        <v>9.8000000000000004E-2</v>
      </c>
      <c r="D9" s="3">
        <v>8.8360000000000008E-2</v>
      </c>
    </row>
    <row r="10" spans="1:20" x14ac:dyDescent="0.45">
      <c r="A10" s="2">
        <v>7</v>
      </c>
      <c r="B10" s="3">
        <v>0.182</v>
      </c>
      <c r="C10" s="3">
        <v>0.10600000000000001</v>
      </c>
      <c r="D10" s="3">
        <v>7.8939999999999996E-2</v>
      </c>
    </row>
    <row r="11" spans="1:20" x14ac:dyDescent="0.45">
      <c r="A11" s="2">
        <v>8</v>
      </c>
      <c r="B11" s="3">
        <v>0.19</v>
      </c>
      <c r="C11" s="3">
        <v>0.11600000000000002</v>
      </c>
      <c r="D11" s="3">
        <v>7.4499999999999997E-2</v>
      </c>
    </row>
    <row r="12" spans="1:20" x14ac:dyDescent="0.45">
      <c r="A12" s="2">
        <v>9</v>
      </c>
      <c r="B12" s="3">
        <v>0.186</v>
      </c>
      <c r="C12" s="3">
        <v>0.121</v>
      </c>
      <c r="D12" s="3">
        <v>6.9259999999999988E-2</v>
      </c>
    </row>
    <row r="13" spans="1:20" x14ac:dyDescent="0.45">
      <c r="A13" s="2">
        <v>10</v>
      </c>
      <c r="B13" s="3">
        <v>0.18666666666666668</v>
      </c>
      <c r="C13" s="3">
        <v>0.12000000000000001</v>
      </c>
      <c r="D13" s="3">
        <v>6.9577777777777766E-2</v>
      </c>
    </row>
    <row r="14" spans="1:20" x14ac:dyDescent="0.45">
      <c r="A14" s="2">
        <v>15</v>
      </c>
      <c r="B14" s="3">
        <v>0.19375000000000001</v>
      </c>
      <c r="C14" s="3">
        <v>0.13374999999999998</v>
      </c>
      <c r="D14" s="3">
        <v>6.0912500000000001E-2</v>
      </c>
    </row>
    <row r="15" spans="1:20" x14ac:dyDescent="0.45">
      <c r="A15" s="2">
        <v>20</v>
      </c>
      <c r="B15" s="3">
        <v>0.20571428571428571</v>
      </c>
      <c r="C15" s="3">
        <v>0.14428571428571427</v>
      </c>
      <c r="D15" s="3">
        <v>6.4314285714285713E-2</v>
      </c>
    </row>
    <row r="16" spans="1:20" x14ac:dyDescent="0.45">
      <c r="A16" s="2">
        <v>30</v>
      </c>
      <c r="B16" s="3">
        <v>0.21666666666666667</v>
      </c>
      <c r="C16" s="3">
        <v>0.16</v>
      </c>
      <c r="D16" s="3">
        <v>5.9183333333333331E-2</v>
      </c>
    </row>
    <row r="17" spans="1:4" x14ac:dyDescent="0.45">
      <c r="A17" s="2">
        <v>60</v>
      </c>
      <c r="B17" s="3">
        <v>0.23749999999999999</v>
      </c>
      <c r="C17" s="3">
        <v>0.185</v>
      </c>
      <c r="D17" s="3">
        <v>5.1874999999999998E-2</v>
      </c>
    </row>
    <row r="18" spans="1:4" x14ac:dyDescent="0.45">
      <c r="A18" s="2" t="s">
        <v>13</v>
      </c>
      <c r="B18" s="3">
        <v>0.18581196581196585</v>
      </c>
      <c r="C18" s="3">
        <v>0.10623931623931629</v>
      </c>
      <c r="D18" s="3">
        <v>8.248205128205123E-2</v>
      </c>
    </row>
  </sheetData>
  <mergeCells count="2">
    <mergeCell ref="A1:R1"/>
    <mergeCell ref="S1:T1"/>
  </mergeCells>
  <pageMargins left="0.7" right="0.7" top="0.75" bottom="0.75" header="0.3" footer="0.3"/>
  <pageSetup paperSize="9" scale="9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8425-9C17-4A67-B684-A0A26B4EC7DD}">
  <dimension ref="A1:R46"/>
  <sheetViews>
    <sheetView workbookViewId="0">
      <selection activeCell="Q17" sqref="Q17"/>
    </sheetView>
  </sheetViews>
  <sheetFormatPr defaultRowHeight="14.25" x14ac:dyDescent="0.45"/>
  <cols>
    <col min="1" max="1" width="12.06640625" bestFit="1" customWidth="1"/>
    <col min="2" max="2" width="4.1328125" bestFit="1" customWidth="1"/>
    <col min="3" max="3" width="7.6640625" bestFit="1" customWidth="1"/>
    <col min="4" max="4" width="3.53125" bestFit="1" customWidth="1"/>
    <col min="8" max="8" width="12.33203125" bestFit="1" customWidth="1"/>
    <col min="9" max="9" width="11.53125" bestFit="1" customWidth="1"/>
    <col min="10" max="10" width="13.796875" bestFit="1" customWidth="1"/>
    <col min="11" max="11" width="4.73046875" bestFit="1" customWidth="1"/>
    <col min="12" max="12" width="9.19921875" customWidth="1"/>
    <col min="13" max="13" width="12.33203125" bestFit="1" customWidth="1"/>
    <col min="14" max="14" width="11.53125" bestFit="1" customWidth="1"/>
    <col min="15" max="15" width="13.796875" bestFit="1" customWidth="1"/>
    <col min="16" max="16" width="4.73046875" bestFit="1" customWidth="1"/>
    <col min="17" max="17" width="13.1328125" bestFit="1" customWidth="1"/>
    <col min="18" max="18" width="12.3984375" bestFit="1" customWidth="1"/>
    <col min="19" max="19" width="14.86328125" bestFit="1" customWidth="1"/>
  </cols>
  <sheetData>
    <row r="1" spans="1:18" ht="23.25" x14ac:dyDescent="0.7">
      <c r="A1" s="12" t="s">
        <v>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15.75" x14ac:dyDescent="0.5">
      <c r="A2" s="7"/>
    </row>
    <row r="5" spans="1:18" x14ac:dyDescent="0.45">
      <c r="A5" s="1" t="s">
        <v>15</v>
      </c>
      <c r="B5" t="s">
        <v>14</v>
      </c>
      <c r="C5" t="s">
        <v>2</v>
      </c>
      <c r="D5" t="s">
        <v>9</v>
      </c>
    </row>
    <row r="6" spans="1:18" x14ac:dyDescent="0.45">
      <c r="A6" s="2">
        <v>5</v>
      </c>
      <c r="B6" s="3">
        <v>0.32333333333333331</v>
      </c>
      <c r="C6" s="3">
        <v>0.25</v>
      </c>
      <c r="D6" s="3">
        <v>8.7333333333333332E-2</v>
      </c>
    </row>
    <row r="7" spans="1:18" x14ac:dyDescent="0.45">
      <c r="A7" s="2">
        <v>10</v>
      </c>
      <c r="B7" s="3">
        <v>0.30249999999999999</v>
      </c>
      <c r="C7" s="3">
        <v>0.22625000000000003</v>
      </c>
      <c r="D7" s="3">
        <v>8.7499999999999994E-2</v>
      </c>
    </row>
    <row r="8" spans="1:18" x14ac:dyDescent="0.45">
      <c r="A8" s="2">
        <v>15</v>
      </c>
      <c r="B8" s="3">
        <v>0.26666666666666666</v>
      </c>
      <c r="C8" s="3">
        <v>0.18555555555555556</v>
      </c>
      <c r="D8" s="3">
        <v>8.9388888888888893E-2</v>
      </c>
      <c r="Q8" t="s">
        <v>24</v>
      </c>
    </row>
    <row r="9" spans="1:18" x14ac:dyDescent="0.45">
      <c r="A9" s="2">
        <v>20</v>
      </c>
      <c r="B9" s="3">
        <v>0.25700000000000001</v>
      </c>
      <c r="C9" s="3">
        <v>0.17099999999999999</v>
      </c>
      <c r="D9" s="3">
        <v>9.3539999999999998E-2</v>
      </c>
    </row>
    <row r="10" spans="1:18" x14ac:dyDescent="0.45">
      <c r="A10" s="2">
        <v>25</v>
      </c>
      <c r="B10" s="3">
        <v>0.22999999999999998</v>
      </c>
      <c r="C10" s="3">
        <v>0.15</v>
      </c>
      <c r="D10" s="3">
        <v>8.6099999999999996E-2</v>
      </c>
    </row>
    <row r="11" spans="1:18" x14ac:dyDescent="0.45">
      <c r="A11" s="2">
        <v>45</v>
      </c>
      <c r="B11" s="3">
        <v>0.20833333333333334</v>
      </c>
      <c r="C11" s="3">
        <v>0.12166666666666666</v>
      </c>
      <c r="D11" s="3">
        <v>9.0199999999999989E-2</v>
      </c>
    </row>
    <row r="12" spans="1:18" x14ac:dyDescent="0.45">
      <c r="A12" s="2">
        <v>60</v>
      </c>
      <c r="B12" s="3">
        <v>0.19499999999999998</v>
      </c>
      <c r="C12" s="3">
        <v>0.10666666666666667</v>
      </c>
      <c r="D12" s="3">
        <v>9.0658333333333341E-2</v>
      </c>
    </row>
    <row r="13" spans="1:18" x14ac:dyDescent="0.45">
      <c r="A13" s="2">
        <v>100</v>
      </c>
      <c r="B13" s="3">
        <v>0.1676923076923077</v>
      </c>
      <c r="C13" s="3">
        <v>8.3076923076923076E-2</v>
      </c>
      <c r="D13" s="3">
        <v>8.5130769230769232E-2</v>
      </c>
    </row>
    <row r="14" spans="1:18" x14ac:dyDescent="0.45">
      <c r="A14" s="2">
        <v>200</v>
      </c>
      <c r="B14" s="3">
        <v>0.1246153846153846</v>
      </c>
      <c r="C14" s="3">
        <v>4.6153846153846149E-2</v>
      </c>
      <c r="D14" s="3">
        <v>7.7269230769230784E-2</v>
      </c>
    </row>
    <row r="15" spans="1:18" x14ac:dyDescent="0.45">
      <c r="A15" s="2">
        <v>400</v>
      </c>
      <c r="B15" s="3">
        <v>9.6923076923076917E-2</v>
      </c>
      <c r="C15" s="3">
        <v>2.3076923076923082E-2</v>
      </c>
      <c r="D15" s="3">
        <v>7.0469230769230756E-2</v>
      </c>
    </row>
    <row r="16" spans="1:18" x14ac:dyDescent="0.45">
      <c r="A16" s="2">
        <v>800</v>
      </c>
      <c r="B16" s="3">
        <v>7.3076923076923067E-2</v>
      </c>
      <c r="C16" s="3">
        <v>9.2307692307692299E-3</v>
      </c>
      <c r="D16" s="3">
        <v>6.1830769230769238E-2</v>
      </c>
    </row>
    <row r="17" spans="1:4" x14ac:dyDescent="0.45">
      <c r="A17" s="2" t="s">
        <v>13</v>
      </c>
      <c r="B17" s="3">
        <v>0.18581196581196574</v>
      </c>
      <c r="C17" s="3">
        <v>0.10623931623931623</v>
      </c>
      <c r="D17" s="3">
        <v>8.2482051282051258E-2</v>
      </c>
    </row>
    <row r="38" spans="5:12" x14ac:dyDescent="0.45">
      <c r="E38" s="4"/>
      <c r="F38" s="4"/>
      <c r="G38" s="4"/>
      <c r="L38" s="5"/>
    </row>
    <row r="39" spans="5:12" x14ac:dyDescent="0.45">
      <c r="E39" s="4"/>
      <c r="F39" s="4"/>
      <c r="G39" s="4"/>
      <c r="L39" s="5"/>
    </row>
    <row r="40" spans="5:12" x14ac:dyDescent="0.45">
      <c r="E40" s="4"/>
      <c r="F40" s="4"/>
      <c r="G40" s="4"/>
      <c r="L40" s="5"/>
    </row>
    <row r="41" spans="5:12" x14ac:dyDescent="0.45">
      <c r="E41" s="4"/>
      <c r="F41" s="4"/>
      <c r="G41" s="4"/>
      <c r="L41" s="5"/>
    </row>
    <row r="42" spans="5:12" x14ac:dyDescent="0.45">
      <c r="E42" s="4"/>
      <c r="F42" s="4"/>
      <c r="G42" s="4"/>
      <c r="L42" s="5"/>
    </row>
    <row r="43" spans="5:12" x14ac:dyDescent="0.45">
      <c r="E43" s="4"/>
      <c r="F43" s="4"/>
      <c r="G43" s="4"/>
      <c r="L43" s="5"/>
    </row>
    <row r="44" spans="5:12" x14ac:dyDescent="0.45">
      <c r="E44" s="4"/>
      <c r="F44" s="4"/>
      <c r="G44" s="4"/>
      <c r="L44" s="5"/>
    </row>
    <row r="45" spans="5:12" x14ac:dyDescent="0.45">
      <c r="E45" s="4"/>
      <c r="F45" s="4"/>
      <c r="G45" s="4"/>
      <c r="L45" s="5"/>
    </row>
    <row r="46" spans="5:12" x14ac:dyDescent="0.45">
      <c r="E46" s="4"/>
      <c r="F46" s="4"/>
      <c r="G46" s="4"/>
      <c r="L46" s="5"/>
    </row>
  </sheetData>
  <mergeCells count="1">
    <mergeCell ref="A1:R1"/>
  </mergeCells>
  <pageMargins left="0.7" right="0.7" top="0.75" bottom="0.75" header="0.3" footer="0.3"/>
  <pageSetup paperSize="9" scale="92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C26D-CA73-41BE-9E13-E84EC35152EC}">
  <dimension ref="A1:N119"/>
  <sheetViews>
    <sheetView topLeftCell="A96" workbookViewId="0">
      <selection activeCell="A3" sqref="A3:N119"/>
    </sheetView>
  </sheetViews>
  <sheetFormatPr defaultRowHeight="14.25" x14ac:dyDescent="0.45"/>
  <cols>
    <col min="1" max="1" width="9.53125" bestFit="1" customWidth="1"/>
    <col min="2" max="2" width="8.73046875" bestFit="1" customWidth="1"/>
    <col min="3" max="3" width="18.9296875" bestFit="1" customWidth="1"/>
    <col min="4" max="4" width="15.86328125" bestFit="1" customWidth="1"/>
    <col min="5" max="5" width="20.59765625" bestFit="1" customWidth="1"/>
    <col min="6" max="6" width="13.19921875" bestFit="1" customWidth="1"/>
    <col min="7" max="7" width="18.73046875" bestFit="1" customWidth="1"/>
    <col min="8" max="8" width="15.6640625" bestFit="1" customWidth="1"/>
    <col min="9" max="9" width="17.1328125" bestFit="1" customWidth="1"/>
    <col min="10" max="10" width="9.3984375" bestFit="1" customWidth="1"/>
    <col min="11" max="11" width="18.3984375" bestFit="1" customWidth="1"/>
    <col min="12" max="12" width="15.33203125" bestFit="1" customWidth="1"/>
    <col min="13" max="13" width="16.3984375" bestFit="1" customWidth="1"/>
    <col min="14" max="14" width="9.06640625" bestFit="1" customWidth="1"/>
    <col min="15" max="24" width="11.19921875" bestFit="1" customWidth="1"/>
  </cols>
  <sheetData>
    <row r="1" spans="1:14" x14ac:dyDescent="0.45">
      <c r="A1" s="9"/>
      <c r="B1" s="8"/>
      <c r="C1" s="13" t="s">
        <v>21</v>
      </c>
      <c r="D1" s="14"/>
      <c r="E1" s="14"/>
      <c r="F1" s="15"/>
      <c r="G1" s="13" t="s">
        <v>22</v>
      </c>
      <c r="H1" s="14"/>
      <c r="I1" s="14"/>
      <c r="J1" s="15"/>
      <c r="K1" s="13" t="s">
        <v>23</v>
      </c>
      <c r="L1" s="14"/>
      <c r="M1" s="14"/>
      <c r="N1" s="15"/>
    </row>
    <row r="2" spans="1:14" x14ac:dyDescent="0.45">
      <c r="A2" t="s">
        <v>0</v>
      </c>
      <c r="B2" t="s">
        <v>1</v>
      </c>
      <c r="C2" t="s">
        <v>5</v>
      </c>
      <c r="D2" t="s">
        <v>6</v>
      </c>
      <c r="E2" t="s">
        <v>8</v>
      </c>
      <c r="F2" t="s">
        <v>16</v>
      </c>
      <c r="G2" t="s">
        <v>10</v>
      </c>
      <c r="H2" t="s">
        <v>11</v>
      </c>
      <c r="I2" t="s">
        <v>12</v>
      </c>
      <c r="J2" t="s">
        <v>17</v>
      </c>
      <c r="K2" t="s">
        <v>4</v>
      </c>
      <c r="L2" t="s">
        <v>3</v>
      </c>
      <c r="M2" t="s">
        <v>7</v>
      </c>
      <c r="N2" t="s">
        <v>18</v>
      </c>
    </row>
    <row r="3" spans="1:14" x14ac:dyDescent="0.45">
      <c r="A3">
        <v>5</v>
      </c>
      <c r="B3">
        <v>2</v>
      </c>
      <c r="C3">
        <v>3044.41</v>
      </c>
      <c r="D3">
        <v>2378.2199999999998</v>
      </c>
      <c r="E3">
        <v>0.22</v>
      </c>
      <c r="F3">
        <v>666.19</v>
      </c>
      <c r="G3">
        <v>1985.63</v>
      </c>
      <c r="H3">
        <v>1319.44</v>
      </c>
      <c r="I3">
        <v>0.34</v>
      </c>
      <c r="J3">
        <v>666.19</v>
      </c>
      <c r="K3">
        <v>0.64490000000000003</v>
      </c>
      <c r="L3">
        <v>0.55469999999999997</v>
      </c>
      <c r="M3">
        <v>0.13980000000000001</v>
      </c>
      <c r="N3">
        <v>9.0200000000000002E-2</v>
      </c>
    </row>
    <row r="4" spans="1:14" x14ac:dyDescent="0.45">
      <c r="A4">
        <v>5</v>
      </c>
      <c r="B4">
        <v>3</v>
      </c>
      <c r="C4">
        <v>3664.84</v>
      </c>
      <c r="D4">
        <v>2700.84</v>
      </c>
      <c r="E4">
        <v>0.26</v>
      </c>
      <c r="F4">
        <v>964</v>
      </c>
      <c r="G4">
        <v>3087.53</v>
      </c>
      <c r="H4">
        <v>2123.5300000000002</v>
      </c>
      <c r="I4">
        <v>0.31</v>
      </c>
      <c r="J4">
        <v>964</v>
      </c>
      <c r="K4">
        <v>0.83620000000000005</v>
      </c>
      <c r="L4">
        <v>0.78690000000000004</v>
      </c>
      <c r="M4">
        <v>5.8999999999999997E-2</v>
      </c>
      <c r="N4">
        <v>4.9299999999999997E-2</v>
      </c>
    </row>
    <row r="5" spans="1:14" x14ac:dyDescent="0.45">
      <c r="A5">
        <v>5</v>
      </c>
      <c r="B5">
        <v>4</v>
      </c>
      <c r="C5">
        <v>3662.97</v>
      </c>
      <c r="D5">
        <v>2671.45</v>
      </c>
      <c r="E5">
        <v>0.27</v>
      </c>
      <c r="F5">
        <v>991.52</v>
      </c>
      <c r="G5">
        <v>3076.84</v>
      </c>
      <c r="H5">
        <v>2085.3200000000002</v>
      </c>
      <c r="I5">
        <v>0.32</v>
      </c>
      <c r="J5">
        <v>991.52</v>
      </c>
      <c r="K5">
        <v>0.83209999999999995</v>
      </c>
      <c r="L5">
        <v>0.77949999999999997</v>
      </c>
      <c r="M5">
        <v>6.3200000000000006E-2</v>
      </c>
      <c r="N5">
        <v>5.2600000000000001E-2</v>
      </c>
    </row>
    <row r="6" spans="1:14" x14ac:dyDescent="0.45">
      <c r="A6">
        <v>10</v>
      </c>
      <c r="B6">
        <v>2</v>
      </c>
      <c r="C6">
        <v>3893.97</v>
      </c>
      <c r="D6">
        <v>3395.64</v>
      </c>
      <c r="E6">
        <v>0.13</v>
      </c>
      <c r="F6">
        <v>498.33</v>
      </c>
      <c r="G6">
        <v>1710.11</v>
      </c>
      <c r="H6">
        <v>1211.78</v>
      </c>
      <c r="I6">
        <v>0.28999999999999998</v>
      </c>
      <c r="J6">
        <v>498.33</v>
      </c>
      <c r="K6">
        <v>0.43409999999999999</v>
      </c>
      <c r="L6">
        <v>0.35749999999999998</v>
      </c>
      <c r="M6">
        <v>0.17649999999999999</v>
      </c>
      <c r="N6">
        <v>7.6600000000000001E-2</v>
      </c>
    </row>
    <row r="7" spans="1:14" x14ac:dyDescent="0.45">
      <c r="A7">
        <v>10</v>
      </c>
      <c r="B7">
        <v>3</v>
      </c>
      <c r="C7">
        <v>4474.01</v>
      </c>
      <c r="D7">
        <v>3774.51</v>
      </c>
      <c r="E7">
        <v>0.16</v>
      </c>
      <c r="F7">
        <v>699.5</v>
      </c>
      <c r="G7">
        <v>2712.54</v>
      </c>
      <c r="H7">
        <v>2013.04</v>
      </c>
      <c r="I7">
        <v>0.26</v>
      </c>
      <c r="J7">
        <v>699.5</v>
      </c>
      <c r="K7">
        <v>0.59730000000000005</v>
      </c>
      <c r="L7">
        <v>0.53110000000000002</v>
      </c>
      <c r="M7">
        <v>0.1109</v>
      </c>
      <c r="N7">
        <v>6.6299999999999998E-2</v>
      </c>
    </row>
    <row r="8" spans="1:14" x14ac:dyDescent="0.45">
      <c r="A8">
        <v>10</v>
      </c>
      <c r="B8">
        <v>4</v>
      </c>
      <c r="C8">
        <v>5214.1400000000003</v>
      </c>
      <c r="D8">
        <v>4369.93</v>
      </c>
      <c r="E8">
        <v>0.16</v>
      </c>
      <c r="F8">
        <v>844.21</v>
      </c>
      <c r="G8">
        <v>3713.83</v>
      </c>
      <c r="H8">
        <v>2869.62</v>
      </c>
      <c r="I8">
        <v>0.23</v>
      </c>
      <c r="J8">
        <v>844.21</v>
      </c>
      <c r="K8">
        <v>0.70389999999999997</v>
      </c>
      <c r="L8">
        <v>0.65410000000000001</v>
      </c>
      <c r="M8">
        <v>7.0800000000000002E-2</v>
      </c>
      <c r="N8">
        <v>4.99E-2</v>
      </c>
    </row>
    <row r="9" spans="1:14" x14ac:dyDescent="0.45">
      <c r="A9">
        <v>10</v>
      </c>
      <c r="B9">
        <v>5</v>
      </c>
      <c r="C9">
        <v>6821.06</v>
      </c>
      <c r="D9">
        <v>4923.58</v>
      </c>
      <c r="E9">
        <v>0.28000000000000003</v>
      </c>
      <c r="F9">
        <v>1897.47</v>
      </c>
      <c r="G9">
        <v>5707.41</v>
      </c>
      <c r="H9">
        <v>3809.94</v>
      </c>
      <c r="I9">
        <v>0.33</v>
      </c>
      <c r="J9">
        <v>1897.47</v>
      </c>
      <c r="K9">
        <v>0.83050000000000002</v>
      </c>
      <c r="L9">
        <v>0.77229999999999999</v>
      </c>
      <c r="M9">
        <v>7.0099999999999996E-2</v>
      </c>
      <c r="N9">
        <v>5.8200000000000002E-2</v>
      </c>
    </row>
    <row r="10" spans="1:14" x14ac:dyDescent="0.45">
      <c r="A10">
        <v>10</v>
      </c>
      <c r="B10">
        <v>6</v>
      </c>
      <c r="C10">
        <v>6629.07</v>
      </c>
      <c r="D10">
        <v>4884.38</v>
      </c>
      <c r="E10">
        <v>0.26</v>
      </c>
      <c r="F10">
        <v>1744.68</v>
      </c>
      <c r="G10">
        <v>5516.77</v>
      </c>
      <c r="H10">
        <v>3772.08</v>
      </c>
      <c r="I10">
        <v>0.32</v>
      </c>
      <c r="J10">
        <v>1744.68</v>
      </c>
      <c r="K10">
        <v>0.82569999999999999</v>
      </c>
      <c r="L10">
        <v>0.77100000000000002</v>
      </c>
      <c r="M10">
        <v>6.6199999999999995E-2</v>
      </c>
      <c r="N10">
        <v>5.4699999999999999E-2</v>
      </c>
    </row>
    <row r="11" spans="1:14" x14ac:dyDescent="0.45">
      <c r="A11">
        <v>10</v>
      </c>
      <c r="B11">
        <v>7</v>
      </c>
      <c r="C11">
        <v>6716.54</v>
      </c>
      <c r="D11">
        <v>4887.57</v>
      </c>
      <c r="E11">
        <v>0.27</v>
      </c>
      <c r="F11">
        <v>1828.98</v>
      </c>
      <c r="G11">
        <v>5614.06</v>
      </c>
      <c r="H11">
        <v>3785.09</v>
      </c>
      <c r="I11">
        <v>0.33</v>
      </c>
      <c r="J11">
        <v>1828.98</v>
      </c>
      <c r="K11">
        <v>0.83030000000000004</v>
      </c>
      <c r="L11">
        <v>0.77359999999999995</v>
      </c>
      <c r="M11">
        <v>6.8199999999999997E-2</v>
      </c>
      <c r="N11">
        <v>5.67E-2</v>
      </c>
    </row>
    <row r="12" spans="1:14" x14ac:dyDescent="0.45">
      <c r="A12">
        <v>10</v>
      </c>
      <c r="B12">
        <v>8</v>
      </c>
      <c r="C12">
        <v>6718.47</v>
      </c>
      <c r="D12">
        <v>4822.78</v>
      </c>
      <c r="E12">
        <v>0.28000000000000003</v>
      </c>
      <c r="F12">
        <v>1895.69</v>
      </c>
      <c r="G12">
        <v>5637</v>
      </c>
      <c r="H12">
        <v>3741.31</v>
      </c>
      <c r="I12">
        <v>0.34</v>
      </c>
      <c r="J12">
        <v>1895.69</v>
      </c>
      <c r="K12">
        <v>0.83330000000000004</v>
      </c>
      <c r="L12">
        <v>0.77449999999999997</v>
      </c>
      <c r="M12">
        <v>7.0599999999999996E-2</v>
      </c>
      <c r="N12">
        <v>5.8900000000000001E-2</v>
      </c>
    </row>
    <row r="13" spans="1:14" x14ac:dyDescent="0.45">
      <c r="A13">
        <v>10</v>
      </c>
      <c r="B13">
        <v>9</v>
      </c>
      <c r="C13">
        <v>6696.18</v>
      </c>
      <c r="D13">
        <v>4919.6000000000004</v>
      </c>
      <c r="E13">
        <v>0.27</v>
      </c>
      <c r="F13">
        <v>1776.58</v>
      </c>
      <c r="G13">
        <v>5585.91</v>
      </c>
      <c r="H13">
        <v>3809.33</v>
      </c>
      <c r="I13">
        <v>0.32</v>
      </c>
      <c r="J13">
        <v>1776.58</v>
      </c>
      <c r="K13">
        <v>0.82850000000000001</v>
      </c>
      <c r="L13">
        <v>0.7732</v>
      </c>
      <c r="M13">
        <v>6.6699999999999995E-2</v>
      </c>
      <c r="N13">
        <v>5.5300000000000002E-2</v>
      </c>
    </row>
    <row r="14" spans="1:14" x14ac:dyDescent="0.45">
      <c r="A14">
        <v>15</v>
      </c>
      <c r="B14">
        <v>2</v>
      </c>
      <c r="C14">
        <v>4268.08</v>
      </c>
      <c r="D14">
        <v>3945.32</v>
      </c>
      <c r="E14">
        <v>0.08</v>
      </c>
      <c r="F14">
        <v>322.76</v>
      </c>
      <c r="G14">
        <v>1378.17</v>
      </c>
      <c r="H14">
        <v>1055.4100000000001</v>
      </c>
      <c r="I14">
        <v>0.23</v>
      </c>
      <c r="J14">
        <v>322.76</v>
      </c>
      <c r="K14">
        <v>0.31969999999999998</v>
      </c>
      <c r="L14">
        <v>0.26690000000000003</v>
      </c>
      <c r="M14">
        <v>0.16520000000000001</v>
      </c>
      <c r="N14">
        <v>5.28E-2</v>
      </c>
    </row>
    <row r="15" spans="1:14" x14ac:dyDescent="0.45">
      <c r="A15">
        <v>15</v>
      </c>
      <c r="B15">
        <v>3</v>
      </c>
      <c r="C15">
        <v>5276.07</v>
      </c>
      <c r="D15">
        <v>4606.9399999999996</v>
      </c>
      <c r="E15">
        <v>0.13</v>
      </c>
      <c r="F15">
        <v>669.12</v>
      </c>
      <c r="G15">
        <v>2618.42</v>
      </c>
      <c r="H15">
        <v>1949.3</v>
      </c>
      <c r="I15">
        <v>0.26</v>
      </c>
      <c r="J15">
        <v>669.12</v>
      </c>
      <c r="K15">
        <v>0.49049999999999999</v>
      </c>
      <c r="L15">
        <v>0.42270000000000002</v>
      </c>
      <c r="M15">
        <v>0.13830000000000001</v>
      </c>
      <c r="N15">
        <v>6.7799999999999999E-2</v>
      </c>
    </row>
    <row r="16" spans="1:14" x14ac:dyDescent="0.45">
      <c r="A16">
        <v>15</v>
      </c>
      <c r="B16">
        <v>4</v>
      </c>
      <c r="C16">
        <v>6110.73</v>
      </c>
      <c r="D16">
        <v>5104.6000000000004</v>
      </c>
      <c r="E16">
        <v>0.16</v>
      </c>
      <c r="F16">
        <v>1006.13</v>
      </c>
      <c r="G16">
        <v>3790.71</v>
      </c>
      <c r="H16">
        <v>2784.57</v>
      </c>
      <c r="I16">
        <v>0.27</v>
      </c>
      <c r="J16">
        <v>1006.13</v>
      </c>
      <c r="K16">
        <v>0.61250000000000004</v>
      </c>
      <c r="L16">
        <v>0.54490000000000005</v>
      </c>
      <c r="M16">
        <v>0.1103</v>
      </c>
      <c r="N16">
        <v>6.7599999999999993E-2</v>
      </c>
    </row>
    <row r="17" spans="1:14" x14ac:dyDescent="0.45">
      <c r="A17">
        <v>15</v>
      </c>
      <c r="B17">
        <v>5</v>
      </c>
      <c r="C17">
        <v>7216.5</v>
      </c>
      <c r="D17">
        <v>5749.79</v>
      </c>
      <c r="E17">
        <v>0.2</v>
      </c>
      <c r="F17">
        <v>1466.71</v>
      </c>
      <c r="G17">
        <v>5201.5200000000004</v>
      </c>
      <c r="H17">
        <v>3734.81</v>
      </c>
      <c r="I17">
        <v>0.28000000000000003</v>
      </c>
      <c r="J17">
        <v>1466.71</v>
      </c>
      <c r="K17">
        <v>0.7137</v>
      </c>
      <c r="L17">
        <v>0.64900000000000002</v>
      </c>
      <c r="M17">
        <v>9.0700000000000003E-2</v>
      </c>
      <c r="N17">
        <v>6.4699999999999994E-2</v>
      </c>
    </row>
    <row r="18" spans="1:14" x14ac:dyDescent="0.45">
      <c r="A18">
        <v>15</v>
      </c>
      <c r="B18">
        <v>6</v>
      </c>
      <c r="C18">
        <v>7213.9</v>
      </c>
      <c r="D18">
        <v>5737.06</v>
      </c>
      <c r="E18">
        <v>0.2</v>
      </c>
      <c r="F18">
        <v>1476.84</v>
      </c>
      <c r="G18">
        <v>5188.47</v>
      </c>
      <c r="H18">
        <v>3711.63</v>
      </c>
      <c r="I18">
        <v>0.28000000000000003</v>
      </c>
      <c r="J18">
        <v>1476.84</v>
      </c>
      <c r="K18">
        <v>0.71240000000000003</v>
      </c>
      <c r="L18">
        <v>0.64659999999999995</v>
      </c>
      <c r="M18">
        <v>9.2399999999999996E-2</v>
      </c>
      <c r="N18">
        <v>6.5799999999999997E-2</v>
      </c>
    </row>
    <row r="19" spans="1:14" x14ac:dyDescent="0.45">
      <c r="A19">
        <v>15</v>
      </c>
      <c r="B19">
        <v>7</v>
      </c>
      <c r="C19">
        <v>7207.23</v>
      </c>
      <c r="D19">
        <v>5758.73</v>
      </c>
      <c r="E19">
        <v>0.2</v>
      </c>
      <c r="F19">
        <v>1448.5</v>
      </c>
      <c r="G19">
        <v>5177.29</v>
      </c>
      <c r="H19">
        <v>3728.79</v>
      </c>
      <c r="I19">
        <v>0.28000000000000003</v>
      </c>
      <c r="J19">
        <v>1448.5</v>
      </c>
      <c r="K19">
        <v>0.71140000000000003</v>
      </c>
      <c r="L19">
        <v>0.6462</v>
      </c>
      <c r="M19">
        <v>9.1600000000000001E-2</v>
      </c>
      <c r="N19">
        <v>6.5199999999999994E-2</v>
      </c>
    </row>
    <row r="20" spans="1:14" x14ac:dyDescent="0.45">
      <c r="A20">
        <v>15</v>
      </c>
      <c r="B20">
        <v>8</v>
      </c>
      <c r="C20">
        <v>9647.0300000000007</v>
      </c>
      <c r="D20">
        <v>7388.46</v>
      </c>
      <c r="E20">
        <v>0.23</v>
      </c>
      <c r="F20">
        <v>2258.5700000000002</v>
      </c>
      <c r="G20">
        <v>8457.39</v>
      </c>
      <c r="H20">
        <v>6198.82</v>
      </c>
      <c r="I20">
        <v>0.27</v>
      </c>
      <c r="J20">
        <v>2258.5700000000002</v>
      </c>
      <c r="K20">
        <v>0.87150000000000005</v>
      </c>
      <c r="L20">
        <v>0.83819999999999995</v>
      </c>
      <c r="M20">
        <v>3.8199999999999998E-2</v>
      </c>
      <c r="N20">
        <v>3.3300000000000003E-2</v>
      </c>
    </row>
    <row r="21" spans="1:14" x14ac:dyDescent="0.45">
      <c r="A21">
        <v>15</v>
      </c>
      <c r="B21">
        <v>9</v>
      </c>
      <c r="C21">
        <v>9720.26</v>
      </c>
      <c r="D21">
        <v>7467.85</v>
      </c>
      <c r="E21">
        <v>0.23</v>
      </c>
      <c r="F21">
        <v>2252.42</v>
      </c>
      <c r="G21">
        <v>8513.0499999999993</v>
      </c>
      <c r="H21">
        <v>6260.63</v>
      </c>
      <c r="I21">
        <v>0.26</v>
      </c>
      <c r="J21">
        <v>2252.42</v>
      </c>
      <c r="K21">
        <v>0.87109999999999999</v>
      </c>
      <c r="L21">
        <v>0.8377</v>
      </c>
      <c r="M21">
        <v>3.8399999999999997E-2</v>
      </c>
      <c r="N21">
        <v>3.3500000000000002E-2</v>
      </c>
    </row>
    <row r="22" spans="1:14" x14ac:dyDescent="0.45">
      <c r="A22">
        <v>15</v>
      </c>
      <c r="B22">
        <v>10</v>
      </c>
      <c r="C22">
        <v>9833.68</v>
      </c>
      <c r="D22">
        <v>7488.29</v>
      </c>
      <c r="E22">
        <v>0.24</v>
      </c>
      <c r="F22">
        <v>2345.39</v>
      </c>
      <c r="G22">
        <v>8639.67</v>
      </c>
      <c r="H22">
        <v>6294.28</v>
      </c>
      <c r="I22">
        <v>0.27</v>
      </c>
      <c r="J22">
        <v>2345.39</v>
      </c>
      <c r="K22">
        <v>0.87450000000000006</v>
      </c>
      <c r="L22">
        <v>0.84009999999999996</v>
      </c>
      <c r="M22">
        <v>3.9399999999999998E-2</v>
      </c>
      <c r="N22">
        <v>3.4500000000000003E-2</v>
      </c>
    </row>
    <row r="23" spans="1:14" x14ac:dyDescent="0.45">
      <c r="A23">
        <v>20</v>
      </c>
      <c r="B23">
        <v>2</v>
      </c>
      <c r="C23">
        <v>4854.84</v>
      </c>
      <c r="D23">
        <v>4624.88</v>
      </c>
      <c r="E23">
        <v>0.05</v>
      </c>
      <c r="F23">
        <v>229.97</v>
      </c>
      <c r="G23">
        <v>1182.72</v>
      </c>
      <c r="H23">
        <v>952.75</v>
      </c>
      <c r="I23">
        <v>0.19</v>
      </c>
      <c r="J23">
        <v>229.97</v>
      </c>
      <c r="K23">
        <v>0.24299999999999999</v>
      </c>
      <c r="L23">
        <v>0.20630000000000001</v>
      </c>
      <c r="M23">
        <v>0.15090000000000001</v>
      </c>
      <c r="N23">
        <v>3.6700000000000003E-2</v>
      </c>
    </row>
    <row r="24" spans="1:14" x14ac:dyDescent="0.45">
      <c r="A24">
        <v>20</v>
      </c>
      <c r="B24">
        <v>3</v>
      </c>
      <c r="C24">
        <v>5693.19</v>
      </c>
      <c r="D24">
        <v>5132.01</v>
      </c>
      <c r="E24">
        <v>0.1</v>
      </c>
      <c r="F24">
        <v>561.19000000000005</v>
      </c>
      <c r="G24">
        <v>2336.19</v>
      </c>
      <c r="H24">
        <v>1775</v>
      </c>
      <c r="I24">
        <v>0.24</v>
      </c>
      <c r="J24">
        <v>561.19000000000005</v>
      </c>
      <c r="K24">
        <v>0.40550000000000003</v>
      </c>
      <c r="L24">
        <v>0.34589999999999999</v>
      </c>
      <c r="M24">
        <v>0.14699999999999999</v>
      </c>
      <c r="N24">
        <v>5.96E-2</v>
      </c>
    </row>
    <row r="25" spans="1:14" x14ac:dyDescent="0.45">
      <c r="A25">
        <v>20</v>
      </c>
      <c r="B25">
        <v>4</v>
      </c>
      <c r="C25">
        <v>6701.69</v>
      </c>
      <c r="D25">
        <v>5799.56</v>
      </c>
      <c r="E25">
        <v>0.13</v>
      </c>
      <c r="F25">
        <v>902.13</v>
      </c>
      <c r="G25">
        <v>3585.79</v>
      </c>
      <c r="H25">
        <v>2683.66</v>
      </c>
      <c r="I25">
        <v>0.25</v>
      </c>
      <c r="J25">
        <v>902.13</v>
      </c>
      <c r="K25">
        <v>0.52880000000000005</v>
      </c>
      <c r="L25">
        <v>0.46239999999999998</v>
      </c>
      <c r="M25">
        <v>0.12559999999999999</v>
      </c>
      <c r="N25">
        <v>6.6400000000000001E-2</v>
      </c>
    </row>
    <row r="26" spans="1:14" x14ac:dyDescent="0.45">
      <c r="A26">
        <v>20</v>
      </c>
      <c r="B26">
        <v>5</v>
      </c>
      <c r="C26">
        <v>7788.53</v>
      </c>
      <c r="D26">
        <v>6451.06</v>
      </c>
      <c r="E26">
        <v>0.17</v>
      </c>
      <c r="F26">
        <v>1337.47</v>
      </c>
      <c r="G26">
        <v>4941.1000000000004</v>
      </c>
      <c r="H26">
        <v>3603.64</v>
      </c>
      <c r="I26">
        <v>0.27</v>
      </c>
      <c r="J26">
        <v>1337.46</v>
      </c>
      <c r="K26">
        <v>0.62760000000000005</v>
      </c>
      <c r="L26">
        <v>0.5585</v>
      </c>
      <c r="M26">
        <v>0.1101</v>
      </c>
      <c r="N26">
        <v>6.9099999999999995E-2</v>
      </c>
    </row>
    <row r="27" spans="1:14" x14ac:dyDescent="0.45">
      <c r="A27">
        <v>20</v>
      </c>
      <c r="B27">
        <v>6</v>
      </c>
      <c r="C27">
        <v>7713.25</v>
      </c>
      <c r="D27">
        <v>6429.28</v>
      </c>
      <c r="E27">
        <v>0.17</v>
      </c>
      <c r="F27">
        <v>1283.97</v>
      </c>
      <c r="G27">
        <v>4905.96</v>
      </c>
      <c r="H27">
        <v>3621.99</v>
      </c>
      <c r="I27">
        <v>0.26</v>
      </c>
      <c r="J27">
        <v>1283.97</v>
      </c>
      <c r="K27">
        <v>0.62919999999999998</v>
      </c>
      <c r="L27">
        <v>0.56299999999999994</v>
      </c>
      <c r="M27">
        <v>0.1052</v>
      </c>
      <c r="N27">
        <v>6.6199999999999995E-2</v>
      </c>
    </row>
    <row r="28" spans="1:14" x14ac:dyDescent="0.45">
      <c r="A28">
        <v>20</v>
      </c>
      <c r="B28">
        <v>7</v>
      </c>
      <c r="C28">
        <v>9306.7099999999991</v>
      </c>
      <c r="D28">
        <v>7450.15</v>
      </c>
      <c r="E28">
        <v>0.2</v>
      </c>
      <c r="F28">
        <v>1856.56</v>
      </c>
      <c r="G28">
        <v>7087.36</v>
      </c>
      <c r="H28">
        <v>5230.8</v>
      </c>
      <c r="I28">
        <v>0.26</v>
      </c>
      <c r="J28">
        <v>1856.56</v>
      </c>
      <c r="K28">
        <v>0.75449999999999995</v>
      </c>
      <c r="L28">
        <v>0.70150000000000001</v>
      </c>
      <c r="M28">
        <v>7.0300000000000001E-2</v>
      </c>
      <c r="N28">
        <v>5.2999999999999999E-2</v>
      </c>
    </row>
    <row r="29" spans="1:14" x14ac:dyDescent="0.45">
      <c r="A29">
        <v>20</v>
      </c>
      <c r="B29">
        <v>8</v>
      </c>
      <c r="C29">
        <v>9604.1200000000008</v>
      </c>
      <c r="D29">
        <v>7576.2</v>
      </c>
      <c r="E29">
        <v>0.21</v>
      </c>
      <c r="F29">
        <v>2027.92</v>
      </c>
      <c r="G29">
        <v>7362.74</v>
      </c>
      <c r="H29">
        <v>5334.82</v>
      </c>
      <c r="I29">
        <v>0.28000000000000003</v>
      </c>
      <c r="J29">
        <v>2027.92</v>
      </c>
      <c r="K29">
        <v>0.76090000000000002</v>
      </c>
      <c r="L29">
        <v>0.70369999999999999</v>
      </c>
      <c r="M29">
        <v>7.5200000000000003E-2</v>
      </c>
      <c r="N29">
        <v>5.7200000000000001E-2</v>
      </c>
    </row>
    <row r="30" spans="1:14" x14ac:dyDescent="0.45">
      <c r="A30">
        <v>20</v>
      </c>
      <c r="B30">
        <v>9</v>
      </c>
      <c r="C30">
        <v>9268.14</v>
      </c>
      <c r="D30">
        <v>7518.53</v>
      </c>
      <c r="E30">
        <v>0.19</v>
      </c>
      <c r="F30">
        <v>1749.62</v>
      </c>
      <c r="G30">
        <v>7054.82</v>
      </c>
      <c r="H30">
        <v>5305.21</v>
      </c>
      <c r="I30">
        <v>0.25</v>
      </c>
      <c r="J30">
        <v>1749.62</v>
      </c>
      <c r="K30">
        <v>0.75539999999999996</v>
      </c>
      <c r="L30">
        <v>0.70489999999999997</v>
      </c>
      <c r="M30">
        <v>6.6799999999999998E-2</v>
      </c>
      <c r="N30">
        <v>5.0500000000000003E-2</v>
      </c>
    </row>
    <row r="31" spans="1:14" x14ac:dyDescent="0.45">
      <c r="A31">
        <v>20</v>
      </c>
      <c r="B31">
        <v>10</v>
      </c>
      <c r="C31">
        <v>12543.12</v>
      </c>
      <c r="D31">
        <v>9374.61</v>
      </c>
      <c r="E31">
        <v>0.25</v>
      </c>
      <c r="F31">
        <v>3168.52</v>
      </c>
      <c r="G31">
        <v>11016.93</v>
      </c>
      <c r="H31">
        <v>7848.42</v>
      </c>
      <c r="I31">
        <v>0.28999999999999998</v>
      </c>
      <c r="J31">
        <v>3168.51</v>
      </c>
      <c r="K31">
        <v>0.874</v>
      </c>
      <c r="L31">
        <v>0.83640000000000003</v>
      </c>
      <c r="M31">
        <v>4.3099999999999999E-2</v>
      </c>
      <c r="N31">
        <v>3.7699999999999997E-2</v>
      </c>
    </row>
    <row r="32" spans="1:14" x14ac:dyDescent="0.45">
      <c r="A32">
        <v>20</v>
      </c>
      <c r="B32">
        <v>15</v>
      </c>
      <c r="C32">
        <v>12518.7</v>
      </c>
      <c r="D32">
        <v>9454.61</v>
      </c>
      <c r="E32">
        <v>0.24</v>
      </c>
      <c r="F32">
        <v>3064.09</v>
      </c>
      <c r="G32">
        <v>10994.91</v>
      </c>
      <c r="H32">
        <v>7930.82</v>
      </c>
      <c r="I32">
        <v>0.28000000000000003</v>
      </c>
      <c r="J32">
        <v>3064.09</v>
      </c>
      <c r="K32">
        <v>0.87409999999999999</v>
      </c>
      <c r="L32">
        <v>0.83819999999999995</v>
      </c>
      <c r="M32">
        <v>4.1200000000000001E-2</v>
      </c>
      <c r="N32">
        <v>3.5999999999999997E-2</v>
      </c>
    </row>
    <row r="33" spans="1:14" x14ac:dyDescent="0.45">
      <c r="A33">
        <v>25</v>
      </c>
      <c r="B33">
        <v>2</v>
      </c>
      <c r="C33">
        <v>5282.48</v>
      </c>
      <c r="D33">
        <v>5119.6000000000004</v>
      </c>
      <c r="E33">
        <v>0.03</v>
      </c>
      <c r="F33">
        <v>162.88</v>
      </c>
      <c r="G33">
        <v>1025.73</v>
      </c>
      <c r="H33">
        <v>862.85</v>
      </c>
      <c r="I33">
        <v>0.16</v>
      </c>
      <c r="J33">
        <v>162.88</v>
      </c>
      <c r="K33">
        <v>0.19420000000000001</v>
      </c>
      <c r="L33">
        <v>0.16889999999999999</v>
      </c>
      <c r="M33">
        <v>0.13</v>
      </c>
      <c r="N33">
        <v>2.52E-2</v>
      </c>
    </row>
    <row r="34" spans="1:14" x14ac:dyDescent="0.45">
      <c r="A34">
        <v>25</v>
      </c>
      <c r="B34">
        <v>3</v>
      </c>
      <c r="C34">
        <v>6044.43</v>
      </c>
      <c r="D34">
        <v>5590.28</v>
      </c>
      <c r="E34">
        <v>0.08</v>
      </c>
      <c r="F34">
        <v>454.15</v>
      </c>
      <c r="G34">
        <v>2101.4</v>
      </c>
      <c r="H34">
        <v>1647.25</v>
      </c>
      <c r="I34">
        <v>0.22</v>
      </c>
      <c r="J34">
        <v>454.15</v>
      </c>
      <c r="K34">
        <v>0.3448</v>
      </c>
      <c r="L34">
        <v>0.29549999999999998</v>
      </c>
      <c r="M34">
        <v>0.14299999999999999</v>
      </c>
      <c r="N34">
        <v>4.9299999999999997E-2</v>
      </c>
    </row>
    <row r="35" spans="1:14" x14ac:dyDescent="0.45">
      <c r="A35">
        <v>25</v>
      </c>
      <c r="B35">
        <v>4</v>
      </c>
      <c r="C35">
        <v>6776.43</v>
      </c>
      <c r="D35">
        <v>6129.54</v>
      </c>
      <c r="E35">
        <v>0.1</v>
      </c>
      <c r="F35">
        <v>646.89</v>
      </c>
      <c r="G35">
        <v>3096.54</v>
      </c>
      <c r="H35">
        <v>2449.65</v>
      </c>
      <c r="I35">
        <v>0.21</v>
      </c>
      <c r="J35">
        <v>646.89</v>
      </c>
      <c r="K35">
        <v>0.45190000000000002</v>
      </c>
      <c r="L35">
        <v>0.3987</v>
      </c>
      <c r="M35">
        <v>0.1179</v>
      </c>
      <c r="N35">
        <v>5.33E-2</v>
      </c>
    </row>
    <row r="36" spans="1:14" x14ac:dyDescent="0.45">
      <c r="A36">
        <v>25</v>
      </c>
      <c r="B36">
        <v>5</v>
      </c>
      <c r="C36">
        <v>8072.54</v>
      </c>
      <c r="D36">
        <v>6915.38</v>
      </c>
      <c r="E36">
        <v>0.14000000000000001</v>
      </c>
      <c r="F36">
        <v>1157.1600000000001</v>
      </c>
      <c r="G36">
        <v>4578.8</v>
      </c>
      <c r="H36">
        <v>3421.64</v>
      </c>
      <c r="I36">
        <v>0.25</v>
      </c>
      <c r="J36">
        <v>1157.17</v>
      </c>
      <c r="K36">
        <v>0.55930000000000002</v>
      </c>
      <c r="L36">
        <v>0.49440000000000001</v>
      </c>
      <c r="M36">
        <v>0.11609999999999999</v>
      </c>
      <c r="N36">
        <v>6.5000000000000002E-2</v>
      </c>
    </row>
    <row r="37" spans="1:14" x14ac:dyDescent="0.45">
      <c r="A37">
        <v>25</v>
      </c>
      <c r="B37">
        <v>6</v>
      </c>
      <c r="C37">
        <v>8038.77</v>
      </c>
      <c r="D37">
        <v>6855.78</v>
      </c>
      <c r="E37">
        <v>0.15</v>
      </c>
      <c r="F37">
        <v>1182.99</v>
      </c>
      <c r="G37">
        <v>4595.78</v>
      </c>
      <c r="H37">
        <v>3412.79</v>
      </c>
      <c r="I37">
        <v>0.26</v>
      </c>
      <c r="J37">
        <v>1182.99</v>
      </c>
      <c r="K37">
        <v>0.56410000000000005</v>
      </c>
      <c r="L37">
        <v>0.49730000000000002</v>
      </c>
      <c r="M37">
        <v>0.11840000000000001</v>
      </c>
      <c r="N37">
        <v>6.6799999999999998E-2</v>
      </c>
    </row>
    <row r="38" spans="1:14" x14ac:dyDescent="0.45">
      <c r="A38">
        <v>25</v>
      </c>
      <c r="B38">
        <v>7</v>
      </c>
      <c r="C38">
        <v>9439.18</v>
      </c>
      <c r="D38">
        <v>8061.8</v>
      </c>
      <c r="E38">
        <v>0.15</v>
      </c>
      <c r="F38">
        <v>1377.38</v>
      </c>
      <c r="G38">
        <v>6444.53</v>
      </c>
      <c r="H38">
        <v>5067.1499999999996</v>
      </c>
      <c r="I38">
        <v>0.21</v>
      </c>
      <c r="J38">
        <v>1377.38</v>
      </c>
      <c r="K38">
        <v>0.67589999999999995</v>
      </c>
      <c r="L38">
        <v>0.62749999999999995</v>
      </c>
      <c r="M38">
        <v>7.1499999999999994E-2</v>
      </c>
      <c r="N38">
        <v>4.8300000000000003E-2</v>
      </c>
    </row>
    <row r="39" spans="1:14" x14ac:dyDescent="0.45">
      <c r="A39">
        <v>25</v>
      </c>
      <c r="B39">
        <v>8</v>
      </c>
      <c r="C39">
        <v>9491.34</v>
      </c>
      <c r="D39">
        <v>8092.71</v>
      </c>
      <c r="E39">
        <v>0.15</v>
      </c>
      <c r="F39">
        <v>1398.63</v>
      </c>
      <c r="G39">
        <v>6492.31</v>
      </c>
      <c r="H39">
        <v>5093.68</v>
      </c>
      <c r="I39">
        <v>0.22</v>
      </c>
      <c r="J39">
        <v>1398.63</v>
      </c>
      <c r="K39">
        <v>0.67779999999999996</v>
      </c>
      <c r="L39">
        <v>0.62860000000000005</v>
      </c>
      <c r="M39">
        <v>7.2599999999999998E-2</v>
      </c>
      <c r="N39">
        <v>4.9200000000000001E-2</v>
      </c>
    </row>
    <row r="40" spans="1:14" x14ac:dyDescent="0.45">
      <c r="A40">
        <v>25</v>
      </c>
      <c r="B40">
        <v>9</v>
      </c>
      <c r="C40">
        <v>11442.22</v>
      </c>
      <c r="D40">
        <v>9328.82</v>
      </c>
      <c r="E40">
        <v>0.18</v>
      </c>
      <c r="F40">
        <v>2113.4</v>
      </c>
      <c r="G40">
        <v>8995.18</v>
      </c>
      <c r="H40">
        <v>6881.78</v>
      </c>
      <c r="I40">
        <v>0.23</v>
      </c>
      <c r="J40">
        <v>2113.4</v>
      </c>
      <c r="K40">
        <v>0.78059999999999996</v>
      </c>
      <c r="L40">
        <v>0.73699999999999999</v>
      </c>
      <c r="M40">
        <v>5.5899999999999998E-2</v>
      </c>
      <c r="N40">
        <v>4.36E-2</v>
      </c>
    </row>
    <row r="41" spans="1:14" x14ac:dyDescent="0.45">
      <c r="A41">
        <v>25</v>
      </c>
      <c r="B41">
        <v>10</v>
      </c>
      <c r="C41">
        <v>11556.61</v>
      </c>
      <c r="D41">
        <v>9371.41</v>
      </c>
      <c r="E41">
        <v>0.19</v>
      </c>
      <c r="F41">
        <v>2185.1999999999998</v>
      </c>
      <c r="G41">
        <v>9072.0499999999993</v>
      </c>
      <c r="H41">
        <v>6886.84</v>
      </c>
      <c r="I41">
        <v>0.24</v>
      </c>
      <c r="J41">
        <v>2185.1999999999998</v>
      </c>
      <c r="K41">
        <v>0.77880000000000005</v>
      </c>
      <c r="L41">
        <v>0.73409999999999997</v>
      </c>
      <c r="M41">
        <v>5.7500000000000002E-2</v>
      </c>
      <c r="N41">
        <v>4.4699999999999997E-2</v>
      </c>
    </row>
    <row r="42" spans="1:14" x14ac:dyDescent="0.45">
      <c r="A42">
        <v>25</v>
      </c>
      <c r="B42">
        <v>15</v>
      </c>
      <c r="C42">
        <v>15561.63</v>
      </c>
      <c r="D42">
        <v>11904.08</v>
      </c>
      <c r="E42">
        <v>0.24</v>
      </c>
      <c r="F42">
        <v>3657.55</v>
      </c>
      <c r="G42">
        <v>13993.12</v>
      </c>
      <c r="H42">
        <v>10335.57</v>
      </c>
      <c r="I42">
        <v>0.26</v>
      </c>
      <c r="J42">
        <v>3657.55</v>
      </c>
      <c r="K42">
        <v>0.89610000000000001</v>
      </c>
      <c r="L42">
        <v>0.86750000000000005</v>
      </c>
      <c r="M42">
        <v>3.1899999999999998E-2</v>
      </c>
      <c r="N42">
        <v>2.86E-2</v>
      </c>
    </row>
    <row r="43" spans="1:14" x14ac:dyDescent="0.45">
      <c r="A43">
        <v>25</v>
      </c>
      <c r="B43">
        <v>20</v>
      </c>
      <c r="C43">
        <v>15689.63</v>
      </c>
      <c r="D43">
        <v>11930.11</v>
      </c>
      <c r="E43">
        <v>0.24</v>
      </c>
      <c r="F43">
        <v>3759.52</v>
      </c>
      <c r="G43">
        <v>14097.29</v>
      </c>
      <c r="H43">
        <v>10337.780000000001</v>
      </c>
      <c r="I43">
        <v>0.27</v>
      </c>
      <c r="J43">
        <v>3759.52</v>
      </c>
      <c r="K43">
        <v>0.89490000000000003</v>
      </c>
      <c r="L43">
        <v>0.86599999999999999</v>
      </c>
      <c r="M43">
        <v>3.2300000000000002E-2</v>
      </c>
      <c r="N43">
        <v>2.8899999999999999E-2</v>
      </c>
    </row>
    <row r="44" spans="1:14" x14ac:dyDescent="0.45">
      <c r="A44">
        <v>45</v>
      </c>
      <c r="B44">
        <v>2</v>
      </c>
      <c r="C44">
        <v>6546.88</v>
      </c>
      <c r="D44">
        <v>6468.37</v>
      </c>
      <c r="E44">
        <v>0.01</v>
      </c>
      <c r="F44">
        <v>78.52</v>
      </c>
      <c r="G44">
        <v>683.78</v>
      </c>
      <c r="H44">
        <v>605.26</v>
      </c>
      <c r="I44">
        <v>0.11</v>
      </c>
      <c r="J44">
        <v>78.52</v>
      </c>
      <c r="K44">
        <v>0.1045</v>
      </c>
      <c r="L44">
        <v>9.3799999999999994E-2</v>
      </c>
      <c r="M44">
        <v>0.10290000000000001</v>
      </c>
      <c r="N44">
        <v>1.0800000000000001E-2</v>
      </c>
    </row>
    <row r="45" spans="1:14" x14ac:dyDescent="0.45">
      <c r="A45">
        <v>45</v>
      </c>
      <c r="B45">
        <v>3</v>
      </c>
      <c r="C45">
        <v>7651.4</v>
      </c>
      <c r="D45">
        <v>7482.72</v>
      </c>
      <c r="E45">
        <v>0.02</v>
      </c>
      <c r="F45">
        <v>168.69</v>
      </c>
      <c r="G45">
        <v>1417.4</v>
      </c>
      <c r="H45">
        <v>1248.71</v>
      </c>
      <c r="I45">
        <v>0.12</v>
      </c>
      <c r="J45">
        <v>168.69</v>
      </c>
      <c r="K45">
        <v>0.1857</v>
      </c>
      <c r="L45">
        <v>0.16769999999999999</v>
      </c>
      <c r="M45">
        <v>9.7199999999999995E-2</v>
      </c>
      <c r="N45">
        <v>1.7999999999999999E-2</v>
      </c>
    </row>
    <row r="46" spans="1:14" x14ac:dyDescent="0.45">
      <c r="A46">
        <v>45</v>
      </c>
      <c r="B46">
        <v>4</v>
      </c>
      <c r="C46">
        <v>8358.0499999999993</v>
      </c>
      <c r="D46">
        <v>7940.03</v>
      </c>
      <c r="E46">
        <v>0.05</v>
      </c>
      <c r="F46">
        <v>418.02</v>
      </c>
      <c r="G46">
        <v>2393.5500000000002</v>
      </c>
      <c r="H46">
        <v>1975.53</v>
      </c>
      <c r="I46">
        <v>0.17</v>
      </c>
      <c r="J46">
        <v>418.02</v>
      </c>
      <c r="K46">
        <v>0.28510000000000002</v>
      </c>
      <c r="L46">
        <v>0.2495</v>
      </c>
      <c r="M46">
        <v>0.125</v>
      </c>
      <c r="N46">
        <v>3.5700000000000003E-2</v>
      </c>
    </row>
    <row r="47" spans="1:14" x14ac:dyDescent="0.45">
      <c r="A47">
        <v>45</v>
      </c>
      <c r="B47">
        <v>5</v>
      </c>
      <c r="C47">
        <v>9238.6200000000008</v>
      </c>
      <c r="D47">
        <v>8514.2800000000007</v>
      </c>
      <c r="E47">
        <v>0.08</v>
      </c>
      <c r="F47">
        <v>724.34</v>
      </c>
      <c r="G47">
        <v>3572.85</v>
      </c>
      <c r="H47">
        <v>2848.51</v>
      </c>
      <c r="I47">
        <v>0.2</v>
      </c>
      <c r="J47">
        <v>724.34</v>
      </c>
      <c r="K47">
        <v>0.38240000000000002</v>
      </c>
      <c r="L47">
        <v>0.33439999999999998</v>
      </c>
      <c r="M47">
        <v>0.12540000000000001</v>
      </c>
      <c r="N47">
        <v>4.7899999999999998E-2</v>
      </c>
    </row>
    <row r="48" spans="1:14" x14ac:dyDescent="0.45">
      <c r="A48">
        <v>45</v>
      </c>
      <c r="B48">
        <v>6</v>
      </c>
      <c r="C48">
        <v>10173.49</v>
      </c>
      <c r="D48">
        <v>9158.1200000000008</v>
      </c>
      <c r="E48">
        <v>0.1</v>
      </c>
      <c r="F48">
        <v>1015.37</v>
      </c>
      <c r="G48">
        <v>4712.49</v>
      </c>
      <c r="H48">
        <v>3697.11</v>
      </c>
      <c r="I48">
        <v>0.22</v>
      </c>
      <c r="J48">
        <v>1015.37</v>
      </c>
      <c r="K48">
        <v>0.4577</v>
      </c>
      <c r="L48">
        <v>0.40329999999999999</v>
      </c>
      <c r="M48">
        <v>0.11890000000000001</v>
      </c>
      <c r="N48">
        <v>5.4399999999999997E-2</v>
      </c>
    </row>
    <row r="49" spans="1:14" x14ac:dyDescent="0.45">
      <c r="A49">
        <v>45</v>
      </c>
      <c r="B49">
        <v>7</v>
      </c>
      <c r="C49">
        <v>10780.38</v>
      </c>
      <c r="D49">
        <v>9699.6</v>
      </c>
      <c r="E49">
        <v>0.1</v>
      </c>
      <c r="F49">
        <v>1080.78</v>
      </c>
      <c r="G49">
        <v>5542.17</v>
      </c>
      <c r="H49">
        <v>4461.38</v>
      </c>
      <c r="I49">
        <v>0.2</v>
      </c>
      <c r="J49">
        <v>1080.78</v>
      </c>
      <c r="K49">
        <v>0.5081</v>
      </c>
      <c r="L49">
        <v>0.4592</v>
      </c>
      <c r="M49">
        <v>9.6199999999999994E-2</v>
      </c>
      <c r="N49">
        <v>4.8899999999999999E-2</v>
      </c>
    </row>
    <row r="50" spans="1:14" x14ac:dyDescent="0.45">
      <c r="A50">
        <v>45</v>
      </c>
      <c r="B50">
        <v>8</v>
      </c>
      <c r="C50">
        <v>11814.26</v>
      </c>
      <c r="D50">
        <v>10353.629999999999</v>
      </c>
      <c r="E50">
        <v>0.12</v>
      </c>
      <c r="F50">
        <v>1460.63</v>
      </c>
      <c r="G50">
        <v>6833.36</v>
      </c>
      <c r="H50">
        <v>5372.73</v>
      </c>
      <c r="I50">
        <v>0.21</v>
      </c>
      <c r="J50">
        <v>1460.63</v>
      </c>
      <c r="K50">
        <v>0.57220000000000004</v>
      </c>
      <c r="L50">
        <v>0.51829999999999998</v>
      </c>
      <c r="M50">
        <v>9.4200000000000006E-2</v>
      </c>
      <c r="N50">
        <v>5.3900000000000003E-2</v>
      </c>
    </row>
    <row r="51" spans="1:14" x14ac:dyDescent="0.45">
      <c r="A51">
        <v>45</v>
      </c>
      <c r="B51">
        <v>9</v>
      </c>
      <c r="C51">
        <v>13228.45</v>
      </c>
      <c r="D51">
        <v>11212.66</v>
      </c>
      <c r="E51">
        <v>0.15</v>
      </c>
      <c r="F51">
        <v>2015.79</v>
      </c>
      <c r="G51">
        <v>8462.6200000000008</v>
      </c>
      <c r="H51">
        <v>6446.83</v>
      </c>
      <c r="I51">
        <v>0.24</v>
      </c>
      <c r="J51">
        <v>2015.79</v>
      </c>
      <c r="K51">
        <v>0.63400000000000001</v>
      </c>
      <c r="L51">
        <v>0.5746</v>
      </c>
      <c r="M51">
        <v>9.3600000000000003E-2</v>
      </c>
      <c r="N51">
        <v>5.9400000000000001E-2</v>
      </c>
    </row>
    <row r="52" spans="1:14" x14ac:dyDescent="0.45">
      <c r="A52">
        <v>45</v>
      </c>
      <c r="B52">
        <v>10</v>
      </c>
      <c r="C52">
        <v>13281.28</v>
      </c>
      <c r="D52">
        <v>11255.31</v>
      </c>
      <c r="E52">
        <v>0.15</v>
      </c>
      <c r="F52">
        <v>2025.97</v>
      </c>
      <c r="G52">
        <v>8504.68</v>
      </c>
      <c r="H52">
        <v>6478.71</v>
      </c>
      <c r="I52">
        <v>0.24</v>
      </c>
      <c r="J52">
        <v>2025.97</v>
      </c>
      <c r="K52">
        <v>0.63360000000000005</v>
      </c>
      <c r="L52">
        <v>0.57530000000000003</v>
      </c>
      <c r="M52">
        <v>9.1899999999999996E-2</v>
      </c>
      <c r="N52">
        <v>5.8200000000000002E-2</v>
      </c>
    </row>
    <row r="53" spans="1:14" x14ac:dyDescent="0.45">
      <c r="A53">
        <v>45</v>
      </c>
      <c r="B53">
        <v>15</v>
      </c>
      <c r="C53">
        <v>19644.71</v>
      </c>
      <c r="D53">
        <v>15276.79</v>
      </c>
      <c r="E53">
        <v>0.22</v>
      </c>
      <c r="F53">
        <v>4367.91</v>
      </c>
      <c r="G53">
        <v>16131.46</v>
      </c>
      <c r="H53">
        <v>11763.55</v>
      </c>
      <c r="I53">
        <v>0.27</v>
      </c>
      <c r="J53">
        <v>4367.91</v>
      </c>
      <c r="K53">
        <v>0.81589999999999996</v>
      </c>
      <c r="L53">
        <v>0.76970000000000005</v>
      </c>
      <c r="M53">
        <v>5.67E-2</v>
      </c>
      <c r="N53">
        <v>4.6199999999999998E-2</v>
      </c>
    </row>
    <row r="54" spans="1:14" x14ac:dyDescent="0.45">
      <c r="A54">
        <v>45</v>
      </c>
      <c r="B54">
        <v>20</v>
      </c>
      <c r="C54">
        <v>19478.82</v>
      </c>
      <c r="D54">
        <v>15287.49</v>
      </c>
      <c r="E54">
        <v>0.22</v>
      </c>
      <c r="F54">
        <v>4191.33</v>
      </c>
      <c r="G54">
        <v>15954.71</v>
      </c>
      <c r="H54">
        <v>11763.38</v>
      </c>
      <c r="I54">
        <v>0.26</v>
      </c>
      <c r="J54">
        <v>4191.33</v>
      </c>
      <c r="K54">
        <v>0.81399999999999995</v>
      </c>
      <c r="L54">
        <v>0.76910000000000001</v>
      </c>
      <c r="M54">
        <v>5.5199999999999999E-2</v>
      </c>
      <c r="N54">
        <v>4.4900000000000002E-2</v>
      </c>
    </row>
    <row r="55" spans="1:14" x14ac:dyDescent="0.45">
      <c r="A55">
        <v>45</v>
      </c>
      <c r="B55">
        <v>30</v>
      </c>
      <c r="C55">
        <v>27342.54</v>
      </c>
      <c r="D55">
        <v>20710.439999999999</v>
      </c>
      <c r="E55">
        <v>0.24</v>
      </c>
      <c r="F55">
        <v>6632.11</v>
      </c>
      <c r="G55">
        <v>25169.32</v>
      </c>
      <c r="H55">
        <v>18537.22</v>
      </c>
      <c r="I55">
        <v>0.26</v>
      </c>
      <c r="J55">
        <v>6632.11</v>
      </c>
      <c r="K55">
        <v>0.91790000000000005</v>
      </c>
      <c r="L55">
        <v>0.89470000000000005</v>
      </c>
      <c r="M55">
        <v>2.52E-2</v>
      </c>
      <c r="N55">
        <v>2.3199999999999998E-2</v>
      </c>
    </row>
    <row r="56" spans="1:14" x14ac:dyDescent="0.45">
      <c r="A56">
        <v>60</v>
      </c>
      <c r="B56">
        <v>2</v>
      </c>
      <c r="C56">
        <v>7237.75</v>
      </c>
      <c r="D56">
        <v>7169.24</v>
      </c>
      <c r="E56">
        <v>0.01</v>
      </c>
      <c r="F56">
        <v>68.510000000000005</v>
      </c>
      <c r="G56">
        <v>567.73</v>
      </c>
      <c r="H56">
        <v>499.22</v>
      </c>
      <c r="I56">
        <v>0.12</v>
      </c>
      <c r="J56">
        <v>68.510000000000005</v>
      </c>
      <c r="K56">
        <v>7.8399999999999997E-2</v>
      </c>
      <c r="L56">
        <v>6.9699999999999998E-2</v>
      </c>
      <c r="M56">
        <v>0.1116</v>
      </c>
      <c r="N56">
        <v>8.6999999999999994E-3</v>
      </c>
    </row>
    <row r="57" spans="1:14" x14ac:dyDescent="0.45">
      <c r="A57">
        <v>60</v>
      </c>
      <c r="B57">
        <v>3</v>
      </c>
      <c r="C57">
        <v>8601.84</v>
      </c>
      <c r="D57">
        <v>8488.5400000000009</v>
      </c>
      <c r="E57">
        <v>0.01</v>
      </c>
      <c r="F57">
        <v>113.3</v>
      </c>
      <c r="G57">
        <v>1143.73</v>
      </c>
      <c r="H57">
        <v>1030.43</v>
      </c>
      <c r="I57">
        <v>0.1</v>
      </c>
      <c r="J57">
        <v>113.3</v>
      </c>
      <c r="K57">
        <v>0.13300000000000001</v>
      </c>
      <c r="L57">
        <v>0.1216</v>
      </c>
      <c r="M57">
        <v>8.5300000000000001E-2</v>
      </c>
      <c r="N57">
        <v>1.1299999999999999E-2</v>
      </c>
    </row>
    <row r="58" spans="1:14" x14ac:dyDescent="0.45">
      <c r="A58">
        <v>60</v>
      </c>
      <c r="B58">
        <v>4</v>
      </c>
      <c r="C58">
        <v>9523.4699999999993</v>
      </c>
      <c r="D58">
        <v>9265.7000000000007</v>
      </c>
      <c r="E58">
        <v>0.03</v>
      </c>
      <c r="F58">
        <v>257.77</v>
      </c>
      <c r="G58">
        <v>1983.29</v>
      </c>
      <c r="H58">
        <v>1725.52</v>
      </c>
      <c r="I58">
        <v>0.13</v>
      </c>
      <c r="J58">
        <v>257.77</v>
      </c>
      <c r="K58">
        <v>0.20810000000000001</v>
      </c>
      <c r="L58">
        <v>0.1867</v>
      </c>
      <c r="M58">
        <v>0.10249999999999999</v>
      </c>
      <c r="N58">
        <v>2.1299999999999999E-2</v>
      </c>
    </row>
    <row r="59" spans="1:14" x14ac:dyDescent="0.45">
      <c r="A59">
        <v>60</v>
      </c>
      <c r="B59">
        <v>5</v>
      </c>
      <c r="C59">
        <v>10160.58</v>
      </c>
      <c r="D59">
        <v>9674.2000000000007</v>
      </c>
      <c r="E59">
        <v>0.05</v>
      </c>
      <c r="F59">
        <v>486.38</v>
      </c>
      <c r="G59">
        <v>3001.74</v>
      </c>
      <c r="H59">
        <v>2515.36</v>
      </c>
      <c r="I59">
        <v>0.16</v>
      </c>
      <c r="J59">
        <v>486.38</v>
      </c>
      <c r="K59">
        <v>0.29399999999999998</v>
      </c>
      <c r="L59">
        <v>0.2606</v>
      </c>
      <c r="M59">
        <v>0.1137</v>
      </c>
      <c r="N59">
        <v>3.3399999999999999E-2</v>
      </c>
    </row>
    <row r="60" spans="1:14" x14ac:dyDescent="0.45">
      <c r="A60">
        <v>60</v>
      </c>
      <c r="B60">
        <v>6</v>
      </c>
      <c r="C60">
        <v>11148.32</v>
      </c>
      <c r="D60">
        <v>10323.58</v>
      </c>
      <c r="E60">
        <v>7.0000000000000007E-2</v>
      </c>
      <c r="F60">
        <v>824.75</v>
      </c>
      <c r="G60">
        <v>4203.41</v>
      </c>
      <c r="H60">
        <v>3378.66</v>
      </c>
      <c r="I60">
        <v>0.2</v>
      </c>
      <c r="J60">
        <v>824.75</v>
      </c>
      <c r="K60">
        <v>0.37309999999999999</v>
      </c>
      <c r="L60">
        <v>0.32719999999999999</v>
      </c>
      <c r="M60">
        <v>0.123</v>
      </c>
      <c r="N60">
        <v>4.5900000000000003E-2</v>
      </c>
    </row>
    <row r="61" spans="1:14" x14ac:dyDescent="0.45">
      <c r="A61">
        <v>60</v>
      </c>
      <c r="B61">
        <v>7</v>
      </c>
      <c r="C61">
        <v>11772.64</v>
      </c>
      <c r="D61">
        <v>10763.54</v>
      </c>
      <c r="E61">
        <v>0.09</v>
      </c>
      <c r="F61">
        <v>1009.1</v>
      </c>
      <c r="G61">
        <v>5123.5600000000004</v>
      </c>
      <c r="H61">
        <v>4114.46</v>
      </c>
      <c r="I61">
        <v>0.2</v>
      </c>
      <c r="J61">
        <v>1009.1</v>
      </c>
      <c r="K61">
        <v>0.43090000000000001</v>
      </c>
      <c r="L61">
        <v>0.38229999999999997</v>
      </c>
      <c r="M61">
        <v>0.1129</v>
      </c>
      <c r="N61">
        <v>4.87E-2</v>
      </c>
    </row>
    <row r="62" spans="1:14" x14ac:dyDescent="0.45">
      <c r="A62">
        <v>60</v>
      </c>
      <c r="B62">
        <v>8</v>
      </c>
      <c r="C62">
        <v>12669.47</v>
      </c>
      <c r="D62">
        <v>11428.82</v>
      </c>
      <c r="E62">
        <v>0.1</v>
      </c>
      <c r="F62">
        <v>1240.6400000000001</v>
      </c>
      <c r="G62">
        <v>6204.12</v>
      </c>
      <c r="H62">
        <v>4963.4799999999996</v>
      </c>
      <c r="I62">
        <v>0.2</v>
      </c>
      <c r="J62">
        <v>1240.6400000000001</v>
      </c>
      <c r="K62">
        <v>0.48420000000000002</v>
      </c>
      <c r="L62">
        <v>0.43380000000000002</v>
      </c>
      <c r="M62">
        <v>0.1042</v>
      </c>
      <c r="N62">
        <v>5.04E-2</v>
      </c>
    </row>
    <row r="63" spans="1:14" x14ac:dyDescent="0.45">
      <c r="A63">
        <v>60</v>
      </c>
      <c r="B63">
        <v>9</v>
      </c>
      <c r="C63">
        <v>13542.48</v>
      </c>
      <c r="D63">
        <v>12070.75</v>
      </c>
      <c r="E63">
        <v>0.11</v>
      </c>
      <c r="F63">
        <v>1471.72</v>
      </c>
      <c r="G63">
        <v>7364.95</v>
      </c>
      <c r="H63">
        <v>5893.23</v>
      </c>
      <c r="I63">
        <v>0.2</v>
      </c>
      <c r="J63">
        <v>1471.72</v>
      </c>
      <c r="K63">
        <v>0.5383</v>
      </c>
      <c r="L63">
        <v>0.48770000000000002</v>
      </c>
      <c r="M63">
        <v>9.4E-2</v>
      </c>
      <c r="N63">
        <v>5.0599999999999999E-2</v>
      </c>
    </row>
    <row r="64" spans="1:14" x14ac:dyDescent="0.45">
      <c r="A64">
        <v>60</v>
      </c>
      <c r="B64">
        <v>10</v>
      </c>
      <c r="C64">
        <v>15148.1</v>
      </c>
      <c r="D64">
        <v>12992.46</v>
      </c>
      <c r="E64">
        <v>0.14000000000000001</v>
      </c>
      <c r="F64">
        <v>2155.64</v>
      </c>
      <c r="G64">
        <v>9129.26</v>
      </c>
      <c r="H64">
        <v>6973.63</v>
      </c>
      <c r="I64">
        <v>0.24</v>
      </c>
      <c r="J64">
        <v>2155.64</v>
      </c>
      <c r="K64">
        <v>0.59599999999999997</v>
      </c>
      <c r="L64">
        <v>0.53639999999999999</v>
      </c>
      <c r="M64">
        <v>0.10009999999999999</v>
      </c>
      <c r="N64">
        <v>5.9700000000000003E-2</v>
      </c>
    </row>
    <row r="65" spans="1:14" x14ac:dyDescent="0.45">
      <c r="A65">
        <v>60</v>
      </c>
      <c r="B65">
        <v>15</v>
      </c>
      <c r="C65">
        <v>20068.89</v>
      </c>
      <c r="D65">
        <v>16363.86</v>
      </c>
      <c r="E65">
        <v>0.18</v>
      </c>
      <c r="F65">
        <v>3705.03</v>
      </c>
      <c r="G65">
        <v>15161.17</v>
      </c>
      <c r="H65">
        <v>11456.14</v>
      </c>
      <c r="I65">
        <v>0.24</v>
      </c>
      <c r="J65">
        <v>3705.03</v>
      </c>
      <c r="K65">
        <v>0.74990000000000001</v>
      </c>
      <c r="L65">
        <v>0.69979999999999998</v>
      </c>
      <c r="M65">
        <v>6.6699999999999995E-2</v>
      </c>
      <c r="N65">
        <v>0.05</v>
      </c>
    </row>
    <row r="66" spans="1:14" x14ac:dyDescent="0.45">
      <c r="A66">
        <v>60</v>
      </c>
      <c r="B66">
        <v>20</v>
      </c>
      <c r="C66">
        <v>25711.21</v>
      </c>
      <c r="D66">
        <v>19904.5</v>
      </c>
      <c r="E66">
        <v>0.23</v>
      </c>
      <c r="F66">
        <v>5806.72</v>
      </c>
      <c r="G66">
        <v>21657.06</v>
      </c>
      <c r="H66">
        <v>15850.34</v>
      </c>
      <c r="I66">
        <v>0.27</v>
      </c>
      <c r="J66">
        <v>5806.72</v>
      </c>
      <c r="K66">
        <v>0.83750000000000002</v>
      </c>
      <c r="L66">
        <v>0.79600000000000004</v>
      </c>
      <c r="M66">
        <v>4.9599999999999998E-2</v>
      </c>
      <c r="N66">
        <v>4.1500000000000002E-2</v>
      </c>
    </row>
    <row r="67" spans="1:14" x14ac:dyDescent="0.45">
      <c r="A67">
        <v>60</v>
      </c>
      <c r="B67">
        <v>30</v>
      </c>
      <c r="C67">
        <v>36024.239999999998</v>
      </c>
      <c r="D67">
        <v>26781.34</v>
      </c>
      <c r="E67">
        <v>0.26</v>
      </c>
      <c r="F67">
        <v>9242.9</v>
      </c>
      <c r="G67">
        <v>33443.32</v>
      </c>
      <c r="H67">
        <v>24200.42</v>
      </c>
      <c r="I67">
        <v>0.28000000000000003</v>
      </c>
      <c r="J67">
        <v>9242.9</v>
      </c>
      <c r="K67">
        <v>0.92589999999999995</v>
      </c>
      <c r="L67">
        <v>0.90339999999999998</v>
      </c>
      <c r="M67">
        <v>2.4299999999999999E-2</v>
      </c>
      <c r="N67">
        <v>2.2499999999999999E-2</v>
      </c>
    </row>
    <row r="68" spans="1:14" x14ac:dyDescent="0.45">
      <c r="A68">
        <v>100</v>
      </c>
      <c r="B68">
        <v>2</v>
      </c>
      <c r="C68" s="10">
        <v>8795.31</v>
      </c>
      <c r="D68" s="10">
        <v>8746.2000000000007</v>
      </c>
      <c r="E68">
        <v>0.01</v>
      </c>
      <c r="F68" s="10">
        <v>49.11</v>
      </c>
      <c r="G68" s="10">
        <v>414.31</v>
      </c>
      <c r="H68" s="10">
        <v>365.2</v>
      </c>
      <c r="I68">
        <v>0.12</v>
      </c>
      <c r="J68" s="10">
        <v>49.11</v>
      </c>
      <c r="K68" s="6">
        <v>4.7100000000000003E-2</v>
      </c>
      <c r="L68" s="6">
        <v>4.1700000000000001E-2</v>
      </c>
      <c r="M68">
        <v>0.1132</v>
      </c>
      <c r="N68" s="11">
        <v>5.3E-3</v>
      </c>
    </row>
    <row r="69" spans="1:14" x14ac:dyDescent="0.45">
      <c r="A69">
        <v>100</v>
      </c>
      <c r="B69">
        <v>3</v>
      </c>
      <c r="C69" s="10">
        <v>10271.89</v>
      </c>
      <c r="D69" s="10">
        <v>10192.02</v>
      </c>
      <c r="E69">
        <v>0.01</v>
      </c>
      <c r="F69" s="10">
        <v>79.87</v>
      </c>
      <c r="G69" s="10">
        <v>809.95</v>
      </c>
      <c r="H69" s="10">
        <v>730.07</v>
      </c>
      <c r="I69">
        <v>0.1</v>
      </c>
      <c r="J69" s="10">
        <v>79.87</v>
      </c>
      <c r="K69" s="6">
        <v>7.8799999999999995E-2</v>
      </c>
      <c r="L69" s="6">
        <v>7.17E-2</v>
      </c>
      <c r="M69">
        <v>0.09</v>
      </c>
      <c r="N69" s="11">
        <v>7.1000000000000004E-3</v>
      </c>
    </row>
    <row r="70" spans="1:14" x14ac:dyDescent="0.45">
      <c r="A70">
        <v>100</v>
      </c>
      <c r="B70">
        <v>4</v>
      </c>
      <c r="C70" s="10">
        <v>11796.41</v>
      </c>
      <c r="D70" s="10">
        <v>11673.88</v>
      </c>
      <c r="E70">
        <v>0.01</v>
      </c>
      <c r="F70" s="10">
        <v>122.53</v>
      </c>
      <c r="G70" s="10">
        <v>1356.35</v>
      </c>
      <c r="H70" s="10">
        <v>1233.82</v>
      </c>
      <c r="I70">
        <v>0.09</v>
      </c>
      <c r="J70" s="10">
        <v>122.53</v>
      </c>
      <c r="K70" s="6">
        <v>0.115</v>
      </c>
      <c r="L70" s="6">
        <v>0.10589999999999999</v>
      </c>
      <c r="M70">
        <v>7.8700000000000006E-2</v>
      </c>
      <c r="N70" s="11">
        <v>8.9999999999999993E-3</v>
      </c>
    </row>
    <row r="71" spans="1:14" x14ac:dyDescent="0.45">
      <c r="A71">
        <v>100</v>
      </c>
      <c r="B71">
        <v>5</v>
      </c>
      <c r="C71" s="10">
        <v>12893.9</v>
      </c>
      <c r="D71" s="10">
        <v>12707.52</v>
      </c>
      <c r="E71">
        <v>0.01</v>
      </c>
      <c r="F71" s="10">
        <v>186.38</v>
      </c>
      <c r="G71" s="10">
        <v>2027.28</v>
      </c>
      <c r="H71" s="10">
        <v>1840.9</v>
      </c>
      <c r="I71">
        <v>0.09</v>
      </c>
      <c r="J71" s="10">
        <v>186.38</v>
      </c>
      <c r="K71" s="6">
        <v>0.15770000000000001</v>
      </c>
      <c r="L71" s="6">
        <v>0.1457</v>
      </c>
      <c r="M71">
        <v>7.6300000000000007E-2</v>
      </c>
      <c r="N71" s="11">
        <v>1.2E-2</v>
      </c>
    </row>
    <row r="72" spans="1:14" x14ac:dyDescent="0.45">
      <c r="A72">
        <v>100</v>
      </c>
      <c r="B72">
        <v>6</v>
      </c>
      <c r="C72" s="10">
        <v>13704.78</v>
      </c>
      <c r="D72" s="10">
        <v>13375.68</v>
      </c>
      <c r="E72">
        <v>0.02</v>
      </c>
      <c r="F72" s="10">
        <v>329.1</v>
      </c>
      <c r="G72" s="10">
        <v>2913.98</v>
      </c>
      <c r="H72" s="10">
        <v>2584.88</v>
      </c>
      <c r="I72">
        <v>0.11</v>
      </c>
      <c r="J72" s="10">
        <v>329.1</v>
      </c>
      <c r="K72" s="6">
        <v>0.21290000000000001</v>
      </c>
      <c r="L72" s="6">
        <v>0.19420000000000001</v>
      </c>
      <c r="M72">
        <v>8.7900000000000006E-2</v>
      </c>
      <c r="N72" s="11">
        <v>1.8700000000000001E-2</v>
      </c>
    </row>
    <row r="73" spans="1:14" x14ac:dyDescent="0.45">
      <c r="A73">
        <v>100</v>
      </c>
      <c r="B73">
        <v>7</v>
      </c>
      <c r="C73" s="10">
        <v>14155.98</v>
      </c>
      <c r="D73" s="10">
        <v>13584.25</v>
      </c>
      <c r="E73">
        <v>0.04</v>
      </c>
      <c r="F73" s="10">
        <v>571.73</v>
      </c>
      <c r="G73" s="10">
        <v>3917.84</v>
      </c>
      <c r="H73" s="10">
        <v>3346.11</v>
      </c>
      <c r="I73">
        <v>0.15</v>
      </c>
      <c r="J73" s="10">
        <v>571.73</v>
      </c>
      <c r="K73" s="6">
        <v>0.27589999999999998</v>
      </c>
      <c r="L73" s="6">
        <v>0.24709999999999999</v>
      </c>
      <c r="M73">
        <v>0.1045</v>
      </c>
      <c r="N73" s="11">
        <v>2.8799999999999999E-2</v>
      </c>
    </row>
    <row r="74" spans="1:14" x14ac:dyDescent="0.45">
      <c r="A74">
        <v>100</v>
      </c>
      <c r="B74">
        <v>8</v>
      </c>
      <c r="C74" s="10">
        <v>14877.22</v>
      </c>
      <c r="D74" s="10">
        <v>14046.82</v>
      </c>
      <c r="E74">
        <v>0.06</v>
      </c>
      <c r="F74" s="10">
        <v>830.4</v>
      </c>
      <c r="G74" s="10">
        <v>4899.76</v>
      </c>
      <c r="H74" s="10">
        <v>4069.36</v>
      </c>
      <c r="I74">
        <v>0.17</v>
      </c>
      <c r="J74" s="10">
        <v>830.4</v>
      </c>
      <c r="K74" s="6">
        <v>0.32729999999999998</v>
      </c>
      <c r="L74" s="6">
        <v>0.29010000000000002</v>
      </c>
      <c r="M74">
        <v>0.11360000000000001</v>
      </c>
      <c r="N74" s="11">
        <v>3.7199999999999997E-2</v>
      </c>
    </row>
    <row r="75" spans="1:14" x14ac:dyDescent="0.45">
      <c r="A75">
        <v>100</v>
      </c>
      <c r="B75">
        <v>9</v>
      </c>
      <c r="C75" s="10">
        <v>15345.02</v>
      </c>
      <c r="D75" s="10">
        <v>14431.48</v>
      </c>
      <c r="E75">
        <v>0.06</v>
      </c>
      <c r="F75" s="10">
        <v>913.54</v>
      </c>
      <c r="G75" s="10">
        <v>5650.98</v>
      </c>
      <c r="H75" s="10">
        <v>4737.43</v>
      </c>
      <c r="I75">
        <v>0.16</v>
      </c>
      <c r="J75" s="10">
        <v>913.54</v>
      </c>
      <c r="K75" s="6">
        <v>0.3664</v>
      </c>
      <c r="L75" s="6">
        <v>0.32929999999999998</v>
      </c>
      <c r="M75">
        <v>0.1013</v>
      </c>
      <c r="N75" s="11">
        <v>3.7100000000000001E-2</v>
      </c>
    </row>
    <row r="76" spans="1:14" x14ac:dyDescent="0.45">
      <c r="A76">
        <v>100</v>
      </c>
      <c r="B76">
        <v>10</v>
      </c>
      <c r="C76" s="10">
        <v>16626.23</v>
      </c>
      <c r="D76" s="10">
        <v>15271.07</v>
      </c>
      <c r="E76">
        <v>0.08</v>
      </c>
      <c r="F76" s="10">
        <v>1355.16</v>
      </c>
      <c r="G76" s="10">
        <v>7233.26</v>
      </c>
      <c r="H76" s="10">
        <v>5878.1</v>
      </c>
      <c r="I76">
        <v>0.19</v>
      </c>
      <c r="J76" s="10">
        <v>1355.16</v>
      </c>
      <c r="K76" s="6">
        <v>0.4304</v>
      </c>
      <c r="L76" s="6">
        <v>0.3846</v>
      </c>
      <c r="M76">
        <v>0.1065</v>
      </c>
      <c r="N76" s="11">
        <v>4.58E-2</v>
      </c>
    </row>
    <row r="77" spans="1:14" x14ac:dyDescent="0.45">
      <c r="A77">
        <v>100</v>
      </c>
      <c r="B77">
        <v>15</v>
      </c>
      <c r="C77" s="10">
        <v>21358.02</v>
      </c>
      <c r="D77" s="10">
        <v>18682.36</v>
      </c>
      <c r="E77">
        <v>0.13</v>
      </c>
      <c r="F77" s="10">
        <v>2675.66</v>
      </c>
      <c r="G77" s="10">
        <v>12975.72</v>
      </c>
      <c r="H77" s="10">
        <v>10300.06</v>
      </c>
      <c r="I77">
        <v>0.21</v>
      </c>
      <c r="J77" s="10">
        <v>2675.66</v>
      </c>
      <c r="K77" s="6">
        <v>0.60129999999999995</v>
      </c>
      <c r="L77" s="6">
        <v>0.55079999999999996</v>
      </c>
      <c r="M77">
        <v>8.4000000000000005E-2</v>
      </c>
      <c r="N77" s="11">
        <v>5.0500000000000003E-2</v>
      </c>
    </row>
    <row r="78" spans="1:14" x14ac:dyDescent="0.45">
      <c r="A78">
        <v>100</v>
      </c>
      <c r="B78">
        <v>20</v>
      </c>
      <c r="C78" s="10">
        <v>27179.27</v>
      </c>
      <c r="D78" s="10">
        <v>22251.5</v>
      </c>
      <c r="E78">
        <v>0.18</v>
      </c>
      <c r="F78" s="10">
        <v>4927.7700000000004</v>
      </c>
      <c r="G78" s="10">
        <v>19913.75</v>
      </c>
      <c r="H78" s="10">
        <v>14985.98</v>
      </c>
      <c r="I78">
        <v>0.25</v>
      </c>
      <c r="J78" s="10">
        <v>4927.7700000000004</v>
      </c>
      <c r="K78" s="6">
        <v>0.72650000000000003</v>
      </c>
      <c r="L78" s="6">
        <v>0.67320000000000002</v>
      </c>
      <c r="M78">
        <v>7.3400000000000007E-2</v>
      </c>
      <c r="N78" s="11">
        <v>5.33E-2</v>
      </c>
    </row>
    <row r="79" spans="1:14" x14ac:dyDescent="0.45">
      <c r="A79">
        <v>100</v>
      </c>
      <c r="B79">
        <v>30</v>
      </c>
      <c r="C79" s="10">
        <v>32387.68</v>
      </c>
      <c r="D79" s="10">
        <v>25709.37</v>
      </c>
      <c r="E79">
        <v>0.21</v>
      </c>
      <c r="F79" s="10">
        <v>6678.32</v>
      </c>
      <c r="G79" s="10">
        <v>25995.19</v>
      </c>
      <c r="H79" s="10">
        <v>19316.88</v>
      </c>
      <c r="I79">
        <v>0.26</v>
      </c>
      <c r="J79" s="10">
        <v>6678.32</v>
      </c>
      <c r="K79" s="6">
        <v>0.79769999999999996</v>
      </c>
      <c r="L79" s="6">
        <v>0.75119999999999998</v>
      </c>
      <c r="M79">
        <v>5.8299999999999998E-2</v>
      </c>
      <c r="N79" s="11">
        <v>4.65E-2</v>
      </c>
    </row>
    <row r="80" spans="1:14" x14ac:dyDescent="0.45">
      <c r="A80">
        <v>100</v>
      </c>
      <c r="B80">
        <v>60</v>
      </c>
      <c r="C80" s="10">
        <v>59369.22</v>
      </c>
      <c r="D80" s="10">
        <v>43894.559999999998</v>
      </c>
      <c r="E80">
        <v>0.26</v>
      </c>
      <c r="F80" s="10">
        <v>15474.66</v>
      </c>
      <c r="G80" s="10">
        <v>56033.57</v>
      </c>
      <c r="H80" s="10">
        <v>40558.910000000003</v>
      </c>
      <c r="I80">
        <v>0.28000000000000003</v>
      </c>
      <c r="J80" s="10">
        <v>15474.66</v>
      </c>
      <c r="K80" s="6">
        <v>0.94179999999999997</v>
      </c>
      <c r="L80" s="6">
        <v>0.92390000000000005</v>
      </c>
      <c r="M80">
        <v>1.9E-2</v>
      </c>
      <c r="N80" s="11">
        <v>1.7899999999999999E-2</v>
      </c>
    </row>
    <row r="81" spans="1:14" x14ac:dyDescent="0.45">
      <c r="A81">
        <v>200</v>
      </c>
      <c r="B81">
        <v>2</v>
      </c>
      <c r="C81" s="10">
        <v>11989.65</v>
      </c>
      <c r="D81" s="10">
        <v>11954.18</v>
      </c>
      <c r="E81">
        <v>0</v>
      </c>
      <c r="F81" s="10">
        <v>35.47</v>
      </c>
      <c r="G81" s="10">
        <v>296.87</v>
      </c>
      <c r="H81" s="10">
        <v>261.39999999999998</v>
      </c>
      <c r="I81">
        <v>0.12</v>
      </c>
      <c r="J81" s="10">
        <v>35.47</v>
      </c>
      <c r="K81" s="6">
        <v>2.4799999999999999E-2</v>
      </c>
      <c r="L81" s="6">
        <v>2.1899999999999999E-2</v>
      </c>
      <c r="M81">
        <v>0.1166</v>
      </c>
      <c r="N81" s="11">
        <v>2.8999999999999998E-3</v>
      </c>
    </row>
    <row r="82" spans="1:14" x14ac:dyDescent="0.45">
      <c r="A82">
        <v>200</v>
      </c>
      <c r="B82">
        <v>3</v>
      </c>
      <c r="C82" s="10">
        <v>13296.43</v>
      </c>
      <c r="D82" s="10">
        <v>13249.2</v>
      </c>
      <c r="E82">
        <v>0</v>
      </c>
      <c r="F82" s="10">
        <v>47.23</v>
      </c>
      <c r="G82" s="10">
        <v>538.65</v>
      </c>
      <c r="H82" s="10">
        <v>491.42</v>
      </c>
      <c r="I82">
        <v>0.09</v>
      </c>
      <c r="J82" s="10">
        <v>47.23</v>
      </c>
      <c r="K82" s="6">
        <v>4.0500000000000001E-2</v>
      </c>
      <c r="L82" s="6">
        <v>3.7100000000000001E-2</v>
      </c>
      <c r="M82">
        <v>8.4000000000000005E-2</v>
      </c>
      <c r="N82" s="11">
        <v>3.3999999999999998E-3</v>
      </c>
    </row>
    <row r="83" spans="1:14" x14ac:dyDescent="0.45">
      <c r="A83">
        <v>200</v>
      </c>
      <c r="B83">
        <v>4</v>
      </c>
      <c r="C83" s="10">
        <v>14803.92</v>
      </c>
      <c r="D83" s="10">
        <v>14735.2</v>
      </c>
      <c r="E83">
        <v>0</v>
      </c>
      <c r="F83" s="10">
        <v>68.72</v>
      </c>
      <c r="G83" s="10">
        <v>865.98</v>
      </c>
      <c r="H83" s="10">
        <v>797.26</v>
      </c>
      <c r="I83">
        <v>0.08</v>
      </c>
      <c r="J83" s="10">
        <v>68.72</v>
      </c>
      <c r="K83" s="6">
        <v>5.8500000000000003E-2</v>
      </c>
      <c r="L83" s="6">
        <v>5.4100000000000002E-2</v>
      </c>
      <c r="M83">
        <v>7.4099999999999999E-2</v>
      </c>
      <c r="N83" s="11">
        <v>4.3E-3</v>
      </c>
    </row>
    <row r="84" spans="1:14" x14ac:dyDescent="0.45">
      <c r="A84">
        <v>200</v>
      </c>
      <c r="B84">
        <v>5</v>
      </c>
      <c r="C84" s="10">
        <v>16483.12</v>
      </c>
      <c r="D84" s="10">
        <v>16381.67</v>
      </c>
      <c r="E84">
        <v>0.01</v>
      </c>
      <c r="F84" s="10">
        <v>101.45</v>
      </c>
      <c r="G84" s="10">
        <v>1242.0899999999999</v>
      </c>
      <c r="H84" s="10">
        <v>1140.6400000000001</v>
      </c>
      <c r="I84">
        <v>0.08</v>
      </c>
      <c r="J84" s="10">
        <v>101.45</v>
      </c>
      <c r="K84" s="6">
        <v>7.5300000000000006E-2</v>
      </c>
      <c r="L84" s="6">
        <v>6.9699999999999998E-2</v>
      </c>
      <c r="M84">
        <v>7.4399999999999994E-2</v>
      </c>
      <c r="N84" s="11">
        <v>5.5999999999999999E-3</v>
      </c>
    </row>
    <row r="85" spans="1:14" x14ac:dyDescent="0.45">
      <c r="A85">
        <v>200</v>
      </c>
      <c r="B85">
        <v>6</v>
      </c>
      <c r="C85" s="10">
        <v>17984.28</v>
      </c>
      <c r="D85" s="10">
        <v>17872.400000000001</v>
      </c>
      <c r="E85">
        <v>0.01</v>
      </c>
      <c r="F85" s="10">
        <v>111.89</v>
      </c>
      <c r="G85" s="10">
        <v>1669.23</v>
      </c>
      <c r="H85" s="10">
        <v>1557.34</v>
      </c>
      <c r="I85">
        <v>7.0000000000000007E-2</v>
      </c>
      <c r="J85" s="10">
        <v>111.89</v>
      </c>
      <c r="K85" s="6">
        <v>9.2799999999999994E-2</v>
      </c>
      <c r="L85" s="6">
        <v>8.7300000000000003E-2</v>
      </c>
      <c r="M85">
        <v>0.06</v>
      </c>
      <c r="N85" s="11">
        <v>5.5999999999999999E-3</v>
      </c>
    </row>
    <row r="86" spans="1:14" x14ac:dyDescent="0.45">
      <c r="A86">
        <v>200</v>
      </c>
      <c r="B86">
        <v>7</v>
      </c>
      <c r="C86" s="10">
        <v>19428.23</v>
      </c>
      <c r="D86" s="10">
        <v>19271.8</v>
      </c>
      <c r="E86">
        <v>0.01</v>
      </c>
      <c r="F86" s="10">
        <v>156.44</v>
      </c>
      <c r="G86" s="10">
        <v>2239.59</v>
      </c>
      <c r="H86" s="10">
        <v>2083.15</v>
      </c>
      <c r="I86">
        <v>7.0000000000000007E-2</v>
      </c>
      <c r="J86" s="10">
        <v>156.44</v>
      </c>
      <c r="K86" s="6">
        <v>0.1154</v>
      </c>
      <c r="L86" s="6">
        <v>0.1085</v>
      </c>
      <c r="M86">
        <v>6.0499999999999998E-2</v>
      </c>
      <c r="N86" s="11">
        <v>7.0000000000000001E-3</v>
      </c>
    </row>
    <row r="87" spans="1:14" x14ac:dyDescent="0.45">
      <c r="A87">
        <v>200</v>
      </c>
      <c r="B87">
        <v>8</v>
      </c>
      <c r="C87" s="10">
        <v>20925.34</v>
      </c>
      <c r="D87" s="10">
        <v>20673.41</v>
      </c>
      <c r="E87">
        <v>0.01</v>
      </c>
      <c r="F87" s="10">
        <v>251.93</v>
      </c>
      <c r="G87" s="10">
        <v>2931.82</v>
      </c>
      <c r="H87" s="10">
        <v>2679.89</v>
      </c>
      <c r="I87">
        <v>0.09</v>
      </c>
      <c r="J87" s="10">
        <v>251.93</v>
      </c>
      <c r="K87" s="6">
        <v>0.1404</v>
      </c>
      <c r="L87" s="6">
        <v>0.1303</v>
      </c>
      <c r="M87">
        <v>7.2099999999999997E-2</v>
      </c>
      <c r="N87" s="11">
        <v>1.01E-2</v>
      </c>
    </row>
    <row r="88" spans="1:14" x14ac:dyDescent="0.45">
      <c r="A88">
        <v>200</v>
      </c>
      <c r="B88">
        <v>9</v>
      </c>
      <c r="C88" s="10">
        <v>21745.84</v>
      </c>
      <c r="D88" s="10">
        <v>21401.32</v>
      </c>
      <c r="E88">
        <v>0.02</v>
      </c>
      <c r="F88" s="10">
        <v>344.51</v>
      </c>
      <c r="G88" s="10">
        <v>3685.51</v>
      </c>
      <c r="H88" s="10">
        <v>3341</v>
      </c>
      <c r="I88">
        <v>0.09</v>
      </c>
      <c r="J88" s="10">
        <v>344.51</v>
      </c>
      <c r="K88" s="6">
        <v>0.17019999999999999</v>
      </c>
      <c r="L88" s="6">
        <v>0.15740000000000001</v>
      </c>
      <c r="M88">
        <v>7.5300000000000006E-2</v>
      </c>
      <c r="N88" s="11">
        <v>1.2800000000000001E-2</v>
      </c>
    </row>
    <row r="89" spans="1:14" x14ac:dyDescent="0.45">
      <c r="A89">
        <v>200</v>
      </c>
      <c r="B89">
        <v>10</v>
      </c>
      <c r="C89" s="10">
        <v>22532.799999999999</v>
      </c>
      <c r="D89" s="10">
        <v>22073.5</v>
      </c>
      <c r="E89">
        <v>0.02</v>
      </c>
      <c r="F89" s="10">
        <v>459.3</v>
      </c>
      <c r="G89" s="10">
        <v>4475.18</v>
      </c>
      <c r="H89" s="10">
        <v>4015.88</v>
      </c>
      <c r="I89">
        <v>0.1</v>
      </c>
      <c r="J89" s="10">
        <v>459.3</v>
      </c>
      <c r="K89" s="6">
        <v>0.1993</v>
      </c>
      <c r="L89" s="6">
        <v>0.18329999999999999</v>
      </c>
      <c r="M89">
        <v>8.0600000000000005E-2</v>
      </c>
      <c r="N89" s="11">
        <v>1.61E-2</v>
      </c>
    </row>
    <row r="90" spans="1:14" x14ac:dyDescent="0.45">
      <c r="A90">
        <v>200</v>
      </c>
      <c r="B90">
        <v>15</v>
      </c>
      <c r="C90" s="10">
        <v>24987.61</v>
      </c>
      <c r="D90" s="10">
        <v>23646.99</v>
      </c>
      <c r="E90">
        <v>0.05</v>
      </c>
      <c r="F90" s="10">
        <v>1340.62</v>
      </c>
      <c r="G90" s="10">
        <v>9141.85</v>
      </c>
      <c r="H90" s="10">
        <v>7801.23</v>
      </c>
      <c r="I90">
        <v>0.15</v>
      </c>
      <c r="J90" s="10">
        <v>1340.62</v>
      </c>
      <c r="K90" s="6">
        <v>0.36399999999999999</v>
      </c>
      <c r="L90" s="6">
        <v>0.3306</v>
      </c>
      <c r="M90">
        <v>9.1600000000000001E-2</v>
      </c>
      <c r="N90" s="11">
        <v>3.3399999999999999E-2</v>
      </c>
    </row>
    <row r="91" spans="1:14" x14ac:dyDescent="0.45">
      <c r="A91">
        <v>200</v>
      </c>
      <c r="B91">
        <v>20</v>
      </c>
      <c r="C91" s="10">
        <v>30175.69</v>
      </c>
      <c r="D91" s="10">
        <v>27090.21</v>
      </c>
      <c r="E91">
        <v>0.1</v>
      </c>
      <c r="F91" s="10">
        <v>3085.48</v>
      </c>
      <c r="G91" s="10">
        <v>15691.61</v>
      </c>
      <c r="H91" s="10">
        <v>12606.12</v>
      </c>
      <c r="I91">
        <v>0.2</v>
      </c>
      <c r="J91" s="10">
        <v>3085.48</v>
      </c>
      <c r="K91" s="6">
        <v>0.51480000000000004</v>
      </c>
      <c r="L91" s="6">
        <v>0.4652</v>
      </c>
      <c r="M91">
        <v>9.64E-2</v>
      </c>
      <c r="N91" s="11">
        <v>4.9599999999999998E-2</v>
      </c>
    </row>
    <row r="92" spans="1:14" x14ac:dyDescent="0.45">
      <c r="A92">
        <v>200</v>
      </c>
      <c r="B92">
        <v>30</v>
      </c>
      <c r="C92" s="10">
        <v>39066.49</v>
      </c>
      <c r="D92" s="10">
        <v>33135.08</v>
      </c>
      <c r="E92">
        <v>0.15</v>
      </c>
      <c r="F92" s="10">
        <v>5931.41</v>
      </c>
      <c r="G92" s="10">
        <v>26707.53</v>
      </c>
      <c r="H92" s="10">
        <v>20776.11</v>
      </c>
      <c r="I92">
        <v>0.22</v>
      </c>
      <c r="J92" s="10">
        <v>5931.41</v>
      </c>
      <c r="K92" s="6">
        <v>0.67769999999999997</v>
      </c>
      <c r="L92" s="6">
        <v>0.62680000000000002</v>
      </c>
      <c r="M92">
        <v>7.51E-2</v>
      </c>
      <c r="N92" s="11">
        <v>5.0900000000000001E-2</v>
      </c>
    </row>
    <row r="93" spans="1:14" x14ac:dyDescent="0.45">
      <c r="A93">
        <v>200</v>
      </c>
      <c r="B93">
        <v>60</v>
      </c>
      <c r="C93" s="10">
        <v>61981.09</v>
      </c>
      <c r="D93" s="10">
        <v>48423.57</v>
      </c>
      <c r="E93">
        <v>0.22</v>
      </c>
      <c r="F93" s="10">
        <v>13557.52</v>
      </c>
      <c r="G93" s="10">
        <v>52865.79</v>
      </c>
      <c r="H93" s="10">
        <v>39308.269999999997</v>
      </c>
      <c r="I93">
        <v>0.26</v>
      </c>
      <c r="J93" s="10">
        <v>13557.52</v>
      </c>
      <c r="K93" s="6">
        <v>0.84889999999999999</v>
      </c>
      <c r="L93" s="6">
        <v>0.81169999999999998</v>
      </c>
      <c r="M93">
        <v>4.3799999999999999E-2</v>
      </c>
      <c r="N93" s="11">
        <v>3.7199999999999997E-2</v>
      </c>
    </row>
    <row r="94" spans="1:14" x14ac:dyDescent="0.45">
      <c r="A94">
        <v>400</v>
      </c>
      <c r="B94">
        <v>2</v>
      </c>
      <c r="C94" s="10">
        <v>16812.21</v>
      </c>
      <c r="D94" s="10">
        <v>16790.07</v>
      </c>
      <c r="E94">
        <v>0</v>
      </c>
      <c r="F94" s="10">
        <v>22.14</v>
      </c>
      <c r="G94" s="10">
        <v>208.63</v>
      </c>
      <c r="H94" s="10">
        <v>186.48</v>
      </c>
      <c r="I94">
        <v>0.11</v>
      </c>
      <c r="J94" s="10">
        <v>22.14</v>
      </c>
      <c r="K94" s="6">
        <v>1.24E-2</v>
      </c>
      <c r="L94" s="6">
        <v>1.11E-2</v>
      </c>
      <c r="M94">
        <v>0.10489999999999999</v>
      </c>
      <c r="N94" s="11">
        <v>1.2999999999999999E-3</v>
      </c>
    </row>
    <row r="95" spans="1:14" x14ac:dyDescent="0.45">
      <c r="A95">
        <v>400</v>
      </c>
      <c r="B95">
        <v>3</v>
      </c>
      <c r="C95" s="10">
        <v>18320.669999999998</v>
      </c>
      <c r="D95" s="10">
        <v>18291.900000000001</v>
      </c>
      <c r="E95">
        <v>0</v>
      </c>
      <c r="F95" s="10">
        <v>28.77</v>
      </c>
      <c r="G95" s="10">
        <v>381.64</v>
      </c>
      <c r="H95" s="10">
        <v>352.87</v>
      </c>
      <c r="I95">
        <v>0.08</v>
      </c>
      <c r="J95" s="10">
        <v>28.77</v>
      </c>
      <c r="K95" s="6">
        <v>2.0799999999999999E-2</v>
      </c>
      <c r="L95" s="6">
        <v>1.9300000000000001E-2</v>
      </c>
      <c r="M95">
        <v>7.3800000000000004E-2</v>
      </c>
      <c r="N95" s="11">
        <v>1.5E-3</v>
      </c>
    </row>
    <row r="96" spans="1:14" x14ac:dyDescent="0.45">
      <c r="A96">
        <v>400</v>
      </c>
      <c r="B96">
        <v>4</v>
      </c>
      <c r="C96" s="10">
        <v>19649.759999999998</v>
      </c>
      <c r="D96" s="10">
        <v>19610.39</v>
      </c>
      <c r="E96">
        <v>0</v>
      </c>
      <c r="F96" s="10">
        <v>39.369999999999997</v>
      </c>
      <c r="G96" s="10">
        <v>601.99</v>
      </c>
      <c r="H96" s="10">
        <v>562.62</v>
      </c>
      <c r="I96">
        <v>7.0000000000000007E-2</v>
      </c>
      <c r="J96" s="10">
        <v>39.369999999999997</v>
      </c>
      <c r="K96" s="6">
        <v>3.0599999999999999E-2</v>
      </c>
      <c r="L96" s="6">
        <v>2.87E-2</v>
      </c>
      <c r="M96">
        <v>6.3299999999999995E-2</v>
      </c>
      <c r="N96" s="11">
        <v>1.9E-3</v>
      </c>
    </row>
    <row r="97" spans="1:14" x14ac:dyDescent="0.45">
      <c r="A97">
        <v>400</v>
      </c>
      <c r="B97">
        <v>5</v>
      </c>
      <c r="C97" s="10">
        <v>21076.53</v>
      </c>
      <c r="D97" s="10">
        <v>21024.98</v>
      </c>
      <c r="E97">
        <v>0</v>
      </c>
      <c r="F97" s="10">
        <v>51.55</v>
      </c>
      <c r="G97" s="10">
        <v>829.91</v>
      </c>
      <c r="H97" s="10">
        <v>778.35</v>
      </c>
      <c r="I97">
        <v>0.06</v>
      </c>
      <c r="J97" s="10">
        <v>51.55</v>
      </c>
      <c r="K97" s="6">
        <v>3.9399999999999998E-2</v>
      </c>
      <c r="L97" s="6">
        <v>3.6999999999999998E-2</v>
      </c>
      <c r="M97">
        <v>5.9499999999999997E-2</v>
      </c>
      <c r="N97" s="11">
        <v>2.3E-3</v>
      </c>
    </row>
    <row r="98" spans="1:14" x14ac:dyDescent="0.45">
      <c r="A98">
        <v>400</v>
      </c>
      <c r="B98">
        <v>6</v>
      </c>
      <c r="C98" s="10">
        <v>22673.33</v>
      </c>
      <c r="D98" s="10">
        <v>22603.67</v>
      </c>
      <c r="E98">
        <v>0</v>
      </c>
      <c r="F98" s="10">
        <v>69.66</v>
      </c>
      <c r="G98" s="10">
        <v>1105.71</v>
      </c>
      <c r="H98" s="10">
        <v>1036.05</v>
      </c>
      <c r="I98">
        <v>0.06</v>
      </c>
      <c r="J98" s="10">
        <v>69.66</v>
      </c>
      <c r="K98" s="6">
        <v>4.87E-2</v>
      </c>
      <c r="L98" s="6">
        <v>4.58E-2</v>
      </c>
      <c r="M98">
        <v>5.9499999999999997E-2</v>
      </c>
      <c r="N98" s="11">
        <v>2.8999999999999998E-3</v>
      </c>
    </row>
    <row r="99" spans="1:14" x14ac:dyDescent="0.45">
      <c r="A99">
        <v>400</v>
      </c>
      <c r="B99">
        <v>7</v>
      </c>
      <c r="C99" s="10">
        <v>24350.51</v>
      </c>
      <c r="D99" s="10">
        <v>24246.560000000001</v>
      </c>
      <c r="E99">
        <v>0</v>
      </c>
      <c r="F99" s="10">
        <v>103.95</v>
      </c>
      <c r="G99" s="10">
        <v>1434.81</v>
      </c>
      <c r="H99" s="10">
        <v>1330.86</v>
      </c>
      <c r="I99">
        <v>7.0000000000000007E-2</v>
      </c>
      <c r="J99" s="10">
        <v>103.95</v>
      </c>
      <c r="K99" s="6">
        <v>5.8799999999999998E-2</v>
      </c>
      <c r="L99" s="6">
        <v>5.4899999999999997E-2</v>
      </c>
      <c r="M99">
        <v>6.7400000000000002E-2</v>
      </c>
      <c r="N99" s="11">
        <v>4.0000000000000001E-3</v>
      </c>
    </row>
    <row r="100" spans="1:14" x14ac:dyDescent="0.45">
      <c r="A100">
        <v>400</v>
      </c>
      <c r="B100">
        <v>8</v>
      </c>
      <c r="C100" s="10">
        <v>26091.19</v>
      </c>
      <c r="D100" s="10">
        <v>25975.45</v>
      </c>
      <c r="E100">
        <v>0</v>
      </c>
      <c r="F100" s="10">
        <v>115.74</v>
      </c>
      <c r="G100" s="10">
        <v>1759.08</v>
      </c>
      <c r="H100" s="10">
        <v>1643.34</v>
      </c>
      <c r="I100">
        <v>7.0000000000000007E-2</v>
      </c>
      <c r="J100" s="10">
        <v>115.74</v>
      </c>
      <c r="K100" s="6">
        <v>6.7400000000000002E-2</v>
      </c>
      <c r="L100" s="6">
        <v>6.3299999999999995E-2</v>
      </c>
      <c r="M100">
        <v>6.0600000000000001E-2</v>
      </c>
      <c r="N100" s="11">
        <v>4.1000000000000003E-3</v>
      </c>
    </row>
    <row r="101" spans="1:14" x14ac:dyDescent="0.45">
      <c r="A101">
        <v>400</v>
      </c>
      <c r="B101">
        <v>9</v>
      </c>
      <c r="C101" s="10">
        <v>27784.65</v>
      </c>
      <c r="D101" s="10">
        <v>27654.74</v>
      </c>
      <c r="E101">
        <v>0</v>
      </c>
      <c r="F101" s="10">
        <v>129.91</v>
      </c>
      <c r="G101" s="10">
        <v>2144.4299999999998</v>
      </c>
      <c r="H101" s="10">
        <v>2014.52</v>
      </c>
      <c r="I101">
        <v>0.06</v>
      </c>
      <c r="J101" s="10">
        <v>129.91</v>
      </c>
      <c r="K101" s="6">
        <v>7.7100000000000002E-2</v>
      </c>
      <c r="L101" s="6">
        <v>7.2900000000000006E-2</v>
      </c>
      <c r="M101">
        <v>5.4899999999999997E-2</v>
      </c>
      <c r="N101" s="11">
        <v>4.1999999999999997E-3</v>
      </c>
    </row>
    <row r="102" spans="1:14" x14ac:dyDescent="0.45">
      <c r="A102">
        <v>400</v>
      </c>
      <c r="B102">
        <v>10</v>
      </c>
      <c r="C102" s="10">
        <v>29471.3</v>
      </c>
      <c r="D102" s="10">
        <v>29305.98</v>
      </c>
      <c r="E102">
        <v>0.01</v>
      </c>
      <c r="F102" s="10">
        <v>165.32</v>
      </c>
      <c r="G102" s="10">
        <v>2578.0700000000002</v>
      </c>
      <c r="H102" s="10">
        <v>2412.75</v>
      </c>
      <c r="I102">
        <v>0.06</v>
      </c>
      <c r="J102" s="10">
        <v>165.31</v>
      </c>
      <c r="K102" s="6">
        <v>8.7400000000000005E-2</v>
      </c>
      <c r="L102" s="6">
        <v>8.2400000000000001E-2</v>
      </c>
      <c r="M102">
        <v>5.74E-2</v>
      </c>
      <c r="N102" s="11">
        <v>5.0000000000000001E-3</v>
      </c>
    </row>
    <row r="103" spans="1:14" x14ac:dyDescent="0.45">
      <c r="A103">
        <v>400</v>
      </c>
      <c r="B103">
        <v>15</v>
      </c>
      <c r="C103" s="10">
        <v>36345.83</v>
      </c>
      <c r="D103" s="10">
        <v>35901.660000000003</v>
      </c>
      <c r="E103">
        <v>0.01</v>
      </c>
      <c r="F103" s="10">
        <v>444.17</v>
      </c>
      <c r="G103" s="10">
        <v>5667.64</v>
      </c>
      <c r="H103" s="10">
        <v>5223.47</v>
      </c>
      <c r="I103">
        <v>0.08</v>
      </c>
      <c r="J103" s="10">
        <v>444.17</v>
      </c>
      <c r="K103" s="6">
        <v>0.1565</v>
      </c>
      <c r="L103" s="6">
        <v>0.14649999999999999</v>
      </c>
      <c r="M103">
        <v>6.4199999999999993E-2</v>
      </c>
      <c r="N103" s="11">
        <v>0.01</v>
      </c>
    </row>
    <row r="104" spans="1:14" x14ac:dyDescent="0.45">
      <c r="A104">
        <v>400</v>
      </c>
      <c r="B104">
        <v>20</v>
      </c>
      <c r="C104" s="10">
        <v>39642.44</v>
      </c>
      <c r="D104" s="10">
        <v>38309.040000000001</v>
      </c>
      <c r="E104">
        <v>0.03</v>
      </c>
      <c r="F104" s="10">
        <v>1333.41</v>
      </c>
      <c r="G104" s="10">
        <v>10497.49</v>
      </c>
      <c r="H104" s="10">
        <v>9164.08</v>
      </c>
      <c r="I104">
        <v>0.13</v>
      </c>
      <c r="J104" s="10">
        <v>1333.41</v>
      </c>
      <c r="K104" s="6">
        <v>0.26500000000000001</v>
      </c>
      <c r="L104" s="6">
        <v>0.24079999999999999</v>
      </c>
      <c r="M104">
        <v>9.1200000000000003E-2</v>
      </c>
      <c r="N104" s="11">
        <v>2.4199999999999999E-2</v>
      </c>
    </row>
    <row r="105" spans="1:14" x14ac:dyDescent="0.45">
      <c r="A105">
        <v>400</v>
      </c>
      <c r="B105">
        <v>30</v>
      </c>
      <c r="C105" s="10">
        <v>44979.44</v>
      </c>
      <c r="D105" s="10">
        <v>41434.07</v>
      </c>
      <c r="E105">
        <v>0.08</v>
      </c>
      <c r="F105" s="10">
        <v>3545.37</v>
      </c>
      <c r="G105" s="10">
        <v>20125.919999999998</v>
      </c>
      <c r="H105" s="10">
        <v>16580.54</v>
      </c>
      <c r="I105">
        <v>0.18</v>
      </c>
      <c r="J105" s="10">
        <v>3545.37</v>
      </c>
      <c r="K105" s="6">
        <v>0.44350000000000001</v>
      </c>
      <c r="L105" s="6">
        <v>0.40029999999999999</v>
      </c>
      <c r="M105">
        <v>9.7500000000000003E-2</v>
      </c>
      <c r="N105" s="11">
        <v>4.3200000000000002E-2</v>
      </c>
    </row>
    <row r="106" spans="1:14" x14ac:dyDescent="0.45">
      <c r="A106">
        <v>400</v>
      </c>
      <c r="B106">
        <v>60</v>
      </c>
      <c r="C106" s="10">
        <v>74288.52</v>
      </c>
      <c r="D106" s="10">
        <v>61346.57</v>
      </c>
      <c r="E106">
        <v>0.17</v>
      </c>
      <c r="F106" s="10">
        <v>12941.95</v>
      </c>
      <c r="G106" s="10">
        <v>56019.48</v>
      </c>
      <c r="H106" s="10">
        <v>43077.53</v>
      </c>
      <c r="I106">
        <v>0.23</v>
      </c>
      <c r="J106" s="10">
        <v>12941.95</v>
      </c>
      <c r="K106" s="6">
        <v>0.74829999999999997</v>
      </c>
      <c r="L106" s="6">
        <v>0.70199999999999996</v>
      </c>
      <c r="M106">
        <v>6.1899999999999997E-2</v>
      </c>
      <c r="N106" s="11">
        <v>4.6399999999999997E-2</v>
      </c>
    </row>
    <row r="107" spans="1:14" x14ac:dyDescent="0.45">
      <c r="A107">
        <v>800</v>
      </c>
      <c r="B107">
        <v>2</v>
      </c>
      <c r="C107" s="10">
        <v>23503.63</v>
      </c>
      <c r="D107" s="10">
        <v>23487.29</v>
      </c>
      <c r="E107">
        <v>0</v>
      </c>
      <c r="F107" s="10">
        <v>16.350000000000001</v>
      </c>
      <c r="G107" s="10">
        <v>148.01</v>
      </c>
      <c r="H107" s="10">
        <v>131.66</v>
      </c>
      <c r="I107">
        <v>0.11</v>
      </c>
      <c r="J107" s="10">
        <v>16.350000000000001</v>
      </c>
      <c r="K107" s="6">
        <v>6.3E-3</v>
      </c>
      <c r="L107" s="6">
        <v>5.5999999999999999E-3</v>
      </c>
      <c r="M107">
        <v>0.10970000000000001</v>
      </c>
      <c r="N107" s="11">
        <v>6.9999999999999999E-4</v>
      </c>
    </row>
    <row r="108" spans="1:14" x14ac:dyDescent="0.45">
      <c r="A108">
        <v>800</v>
      </c>
      <c r="B108">
        <v>3</v>
      </c>
      <c r="C108" s="10">
        <v>25616.46</v>
      </c>
      <c r="D108" s="10">
        <v>25594.39</v>
      </c>
      <c r="E108">
        <v>0</v>
      </c>
      <c r="F108" s="10">
        <v>22.07</v>
      </c>
      <c r="G108" s="10">
        <v>272.86</v>
      </c>
      <c r="H108" s="10">
        <v>250.79</v>
      </c>
      <c r="I108">
        <v>0.08</v>
      </c>
      <c r="J108" s="10">
        <v>22.07</v>
      </c>
      <c r="K108" s="6">
        <v>1.0699999999999999E-2</v>
      </c>
      <c r="L108" s="6">
        <v>9.7999999999999997E-3</v>
      </c>
      <c r="M108">
        <v>8.0100000000000005E-2</v>
      </c>
      <c r="N108" s="11">
        <v>8.9999999999999998E-4</v>
      </c>
    </row>
    <row r="109" spans="1:14" x14ac:dyDescent="0.45">
      <c r="A109">
        <v>800</v>
      </c>
      <c r="B109">
        <v>4</v>
      </c>
      <c r="C109" s="10">
        <v>27412.7</v>
      </c>
      <c r="D109" s="10">
        <v>27386.14</v>
      </c>
      <c r="E109">
        <v>0</v>
      </c>
      <c r="F109" s="10">
        <v>26.56</v>
      </c>
      <c r="G109" s="10">
        <v>417.93</v>
      </c>
      <c r="H109" s="10">
        <v>391.37</v>
      </c>
      <c r="I109">
        <v>0.06</v>
      </c>
      <c r="J109" s="10">
        <v>26.56</v>
      </c>
      <c r="K109" s="6">
        <v>1.52E-2</v>
      </c>
      <c r="L109" s="6">
        <v>1.43E-2</v>
      </c>
      <c r="M109">
        <v>6.25E-2</v>
      </c>
      <c r="N109" s="11">
        <v>1E-3</v>
      </c>
    </row>
    <row r="110" spans="1:14" x14ac:dyDescent="0.45">
      <c r="A110">
        <v>800</v>
      </c>
      <c r="B110">
        <v>5</v>
      </c>
      <c r="C110" s="10">
        <v>28895.16</v>
      </c>
      <c r="D110" s="10">
        <v>28862.82</v>
      </c>
      <c r="E110">
        <v>0</v>
      </c>
      <c r="F110" s="10">
        <v>32.340000000000003</v>
      </c>
      <c r="G110" s="10">
        <v>591.05999999999995</v>
      </c>
      <c r="H110" s="10">
        <v>558.72</v>
      </c>
      <c r="I110">
        <v>0.05</v>
      </c>
      <c r="J110" s="10">
        <v>32.340000000000003</v>
      </c>
      <c r="K110" s="6">
        <v>2.0500000000000001E-2</v>
      </c>
      <c r="L110" s="6">
        <v>1.9400000000000001E-2</v>
      </c>
      <c r="M110">
        <v>5.3400000000000003E-2</v>
      </c>
      <c r="N110" s="11">
        <v>1.1000000000000001E-3</v>
      </c>
    </row>
    <row r="111" spans="1:14" x14ac:dyDescent="0.45">
      <c r="A111">
        <v>800</v>
      </c>
      <c r="B111">
        <v>6</v>
      </c>
      <c r="C111" s="10">
        <v>30354.52</v>
      </c>
      <c r="D111" s="10">
        <v>30312.98</v>
      </c>
      <c r="E111">
        <v>0</v>
      </c>
      <c r="F111" s="10">
        <v>41.54</v>
      </c>
      <c r="G111" s="10">
        <v>774.77</v>
      </c>
      <c r="H111" s="10">
        <v>733.23</v>
      </c>
      <c r="I111">
        <v>0.05</v>
      </c>
      <c r="J111" s="10">
        <v>41.54</v>
      </c>
      <c r="K111" s="6">
        <v>2.5499999999999998E-2</v>
      </c>
      <c r="L111" s="6">
        <v>2.4199999999999999E-2</v>
      </c>
      <c r="M111">
        <v>5.21E-2</v>
      </c>
      <c r="N111" s="11">
        <v>1.2999999999999999E-3</v>
      </c>
    </row>
    <row r="112" spans="1:14" x14ac:dyDescent="0.45">
      <c r="A112">
        <v>800</v>
      </c>
      <c r="B112">
        <v>7</v>
      </c>
      <c r="C112" s="10">
        <v>31908.81</v>
      </c>
      <c r="D112" s="10">
        <v>31861.63</v>
      </c>
      <c r="E112">
        <v>0</v>
      </c>
      <c r="F112" s="10">
        <v>47.18</v>
      </c>
      <c r="G112" s="10">
        <v>985.08</v>
      </c>
      <c r="H112" s="10">
        <v>937.91</v>
      </c>
      <c r="I112">
        <v>0.05</v>
      </c>
      <c r="J112" s="10">
        <v>47.18</v>
      </c>
      <c r="K112" s="6">
        <v>3.09E-2</v>
      </c>
      <c r="L112" s="6">
        <v>2.9399999999999999E-2</v>
      </c>
      <c r="M112">
        <v>4.6300000000000001E-2</v>
      </c>
      <c r="N112" s="11">
        <v>1.4E-3</v>
      </c>
    </row>
    <row r="113" spans="1:14" x14ac:dyDescent="0.45">
      <c r="A113">
        <v>800</v>
      </c>
      <c r="B113">
        <v>8</v>
      </c>
      <c r="C113" s="10">
        <v>33395.919999999998</v>
      </c>
      <c r="D113" s="10">
        <v>33341.39</v>
      </c>
      <c r="E113">
        <v>0</v>
      </c>
      <c r="F113" s="10">
        <v>54.53</v>
      </c>
      <c r="G113" s="10">
        <v>1198.06</v>
      </c>
      <c r="H113" s="10">
        <v>1143.53</v>
      </c>
      <c r="I113">
        <v>0.05</v>
      </c>
      <c r="J113" s="10">
        <v>54.53</v>
      </c>
      <c r="K113" s="6">
        <v>3.5900000000000001E-2</v>
      </c>
      <c r="L113" s="6">
        <v>3.4299999999999997E-2</v>
      </c>
      <c r="M113">
        <v>4.3700000000000003E-2</v>
      </c>
      <c r="N113" s="11">
        <v>1.6000000000000001E-3</v>
      </c>
    </row>
    <row r="114" spans="1:14" x14ac:dyDescent="0.45">
      <c r="A114">
        <v>800</v>
      </c>
      <c r="B114">
        <v>9</v>
      </c>
      <c r="C114" s="10">
        <v>35025.42</v>
      </c>
      <c r="D114" s="10">
        <v>34955.72</v>
      </c>
      <c r="E114">
        <v>0</v>
      </c>
      <c r="F114" s="10">
        <v>69.7</v>
      </c>
      <c r="G114" s="10">
        <v>1448.82</v>
      </c>
      <c r="H114" s="10">
        <v>1379.12</v>
      </c>
      <c r="I114">
        <v>0.05</v>
      </c>
      <c r="J114" s="10">
        <v>69.7</v>
      </c>
      <c r="K114" s="6">
        <v>4.1300000000000003E-2</v>
      </c>
      <c r="L114" s="6">
        <v>3.95E-2</v>
      </c>
      <c r="M114">
        <v>4.5699999999999998E-2</v>
      </c>
      <c r="N114" s="11">
        <v>1.9E-3</v>
      </c>
    </row>
    <row r="115" spans="1:14" x14ac:dyDescent="0.45">
      <c r="A115">
        <v>800</v>
      </c>
      <c r="B115">
        <v>10</v>
      </c>
      <c r="C115" s="10">
        <v>36662.14</v>
      </c>
      <c r="D115" s="10">
        <v>36572.239999999998</v>
      </c>
      <c r="E115">
        <v>0</v>
      </c>
      <c r="F115" s="10">
        <v>89.9</v>
      </c>
      <c r="G115" s="10">
        <v>1707.34</v>
      </c>
      <c r="H115" s="10">
        <v>1617.45</v>
      </c>
      <c r="I115">
        <v>0.05</v>
      </c>
      <c r="J115" s="10">
        <v>89.9</v>
      </c>
      <c r="K115" s="6">
        <v>4.65E-2</v>
      </c>
      <c r="L115" s="6">
        <v>4.4200000000000003E-2</v>
      </c>
      <c r="M115">
        <v>4.9700000000000001E-2</v>
      </c>
      <c r="N115" s="11">
        <v>2.3E-3</v>
      </c>
    </row>
    <row r="116" spans="1:14" x14ac:dyDescent="0.45">
      <c r="A116">
        <v>800</v>
      </c>
      <c r="B116">
        <v>15</v>
      </c>
      <c r="C116" s="10">
        <v>45742.68</v>
      </c>
      <c r="D116" s="10">
        <v>45556.49</v>
      </c>
      <c r="E116">
        <v>0</v>
      </c>
      <c r="F116" s="10">
        <v>186.19</v>
      </c>
      <c r="G116" s="10">
        <v>3316.07</v>
      </c>
      <c r="H116" s="10">
        <v>3129.87</v>
      </c>
      <c r="I116">
        <v>0.06</v>
      </c>
      <c r="J116" s="10">
        <v>186.19</v>
      </c>
      <c r="K116" s="6">
        <v>7.2400000000000006E-2</v>
      </c>
      <c r="L116" s="6">
        <v>6.8699999999999997E-2</v>
      </c>
      <c r="M116">
        <v>5.0999999999999997E-2</v>
      </c>
      <c r="N116" s="11">
        <v>3.7000000000000002E-3</v>
      </c>
    </row>
    <row r="117" spans="1:14" x14ac:dyDescent="0.45">
      <c r="A117">
        <v>800</v>
      </c>
      <c r="B117">
        <v>20</v>
      </c>
      <c r="C117" s="10">
        <v>54115.040000000001</v>
      </c>
      <c r="D117" s="10">
        <v>53778.95</v>
      </c>
      <c r="E117">
        <v>0.01</v>
      </c>
      <c r="F117" s="10">
        <v>336.09</v>
      </c>
      <c r="G117" s="10">
        <v>5616.95</v>
      </c>
      <c r="H117" s="10">
        <v>5280.86</v>
      </c>
      <c r="I117">
        <v>0.06</v>
      </c>
      <c r="J117" s="10">
        <v>336.09</v>
      </c>
      <c r="K117" s="6">
        <v>0.1038</v>
      </c>
      <c r="L117" s="6">
        <v>9.8400000000000001E-2</v>
      </c>
      <c r="M117">
        <v>5.21E-2</v>
      </c>
      <c r="N117" s="11">
        <v>5.4000000000000003E-3</v>
      </c>
    </row>
    <row r="118" spans="1:14" x14ac:dyDescent="0.45">
      <c r="A118">
        <v>800</v>
      </c>
      <c r="B118">
        <v>30</v>
      </c>
      <c r="C118" s="10">
        <v>65505.13</v>
      </c>
      <c r="D118" s="10">
        <v>64225.46</v>
      </c>
      <c r="E118">
        <v>0.02</v>
      </c>
      <c r="F118" s="10">
        <v>1279.67</v>
      </c>
      <c r="G118" s="10">
        <v>13240.47</v>
      </c>
      <c r="H118" s="10">
        <v>11960.81</v>
      </c>
      <c r="I118">
        <v>0.1</v>
      </c>
      <c r="J118" s="10">
        <v>1279.67</v>
      </c>
      <c r="K118" s="6">
        <v>0.2029</v>
      </c>
      <c r="L118" s="6">
        <v>0.18779999999999999</v>
      </c>
      <c r="M118">
        <v>7.4700000000000003E-2</v>
      </c>
      <c r="N118" s="11">
        <v>1.52E-2</v>
      </c>
    </row>
    <row r="119" spans="1:14" x14ac:dyDescent="0.45">
      <c r="A119">
        <v>800</v>
      </c>
      <c r="B119">
        <v>60</v>
      </c>
      <c r="C119" s="10">
        <v>82071.09</v>
      </c>
      <c r="D119" s="10">
        <v>74380.03</v>
      </c>
      <c r="E119">
        <v>0.09</v>
      </c>
      <c r="F119" s="10">
        <v>7691.06</v>
      </c>
      <c r="G119" s="10">
        <v>43599.94</v>
      </c>
      <c r="H119" s="10">
        <v>35908.879999999997</v>
      </c>
      <c r="I119">
        <v>0.18</v>
      </c>
      <c r="J119" s="10">
        <v>7691.06</v>
      </c>
      <c r="K119" s="6">
        <v>0.5262</v>
      </c>
      <c r="L119" s="6">
        <v>0.48259999999999997</v>
      </c>
      <c r="M119">
        <v>8.2799999999999999E-2</v>
      </c>
      <c r="N119" s="11">
        <v>4.36E-2</v>
      </c>
    </row>
  </sheetData>
  <mergeCells count="3">
    <mergeCell ref="C1:F1"/>
    <mergeCell ref="G1:J1"/>
    <mergeCell ref="K1:N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7927-E9EA-4CFD-BA9D-08E45B4C4743}">
  <dimension ref="B2"/>
  <sheetViews>
    <sheetView tabSelected="1" workbookViewId="0">
      <selection activeCell="B2" sqref="B2"/>
    </sheetView>
  </sheetViews>
  <sheetFormatPr defaultRowHeight="14.25" x14ac:dyDescent="0.45"/>
  <sheetData>
    <row r="2" spans="2:2" x14ac:dyDescent="0.45">
      <c r="B2" t="s">
        <v>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388936-0AAC-474F-8413-B71DA60B4F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Fig15 ImpByDrones</vt:lpstr>
      <vt:lpstr>Fig 16 ImpByStations</vt:lpstr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GRIGORIOS GASTERATOS</cp:lastModifiedBy>
  <cp:lastPrinted>2024-07-14T19:48:35Z</cp:lastPrinted>
  <dcterms:created xsi:type="dcterms:W3CDTF">2015-06-05T18:19:34Z</dcterms:created>
  <dcterms:modified xsi:type="dcterms:W3CDTF">2025-08-01T14:20:05Z</dcterms:modified>
</cp:coreProperties>
</file>